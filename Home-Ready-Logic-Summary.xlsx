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Read Me" sheetId="1" state="visible" r:id="rId1"/>
    <sheet name="1. Assumptions" sheetId="2" state="visible" r:id="rId2"/>
    <sheet name="2. Inputs" sheetId="3" state="visible" r:id="rId3"/>
    <sheet name="3. Income &amp; Expenses" sheetId="4" state="visible" r:id="rId4"/>
    <sheet name="4. Purchasing Power (Buy)" sheetId="5" state="visible" r:id="rId5"/>
    <sheet name="4a. Home Price Gap (Rec)" sheetId="6" state="visible" r:id="rId6"/>
    <sheet name="4b. Home Price Gap (Tgt)" sheetId="7" state="visible" r:id="rId7"/>
    <sheet name="5. Action Plan (Buy)" sheetId="8" state="visible" r:id="rId8"/>
    <sheet name="6. Readiness Score" sheetId="9" state="visible" r:id="rId9"/>
    <sheet name="7a. Wealth — Recommended" sheetId="10" state="visible" r:id="rId10"/>
    <sheet name="7b. Wealth — Target Price" sheetId="11" state="visible" r:id="rId11"/>
    <sheet name="8a. RTO — Recommended" sheetId="12" state="visible" r:id="rId12"/>
    <sheet name="8b. RTO — Target Price" sheetId="13" state="visible" r:id="rId13"/>
    <sheet name="9a. Cash Flow — Recommended" sheetId="14" state="visible" r:id="rId14"/>
    <sheet name="9b. Cash Flow — Target Price" sheetId="15" state="visible" r:id="rId15"/>
    <sheet name="10a. RTO Plan — Recommended" sheetId="16" state="visible" r:id="rId16"/>
    <sheet name="10b. RTO Plan — Target Price" sheetId="17" state="visible" r:id="rId17"/>
    <sheet name="11a. Rent Plan — Recommended" sheetId="18" state="visible" r:id="rId18"/>
    <sheet name="11b. Rent Plan — Target Price" sheetId="19" state="visible" r:id="rId19"/>
    <sheet name="12. Advisory Notices" sheetId="20" state="visible" r:id="rId20"/>
  </sheets>
  <definedNames>
    <definedName name="DSR">'1. Assumptions'!$B$6</definedName>
    <definedName name="AnnualInterestRate">'1. Assumptions'!$B$7</definedName>
    <definedName name="DownPaymentRate">'1. Assumptions'!$B$8</definedName>
    <definedName name="VariableIncomeWeight">'1. Assumptions'!$B$9</definedName>
    <definedName name="TransactionCostRate">'1. Assumptions'!$B$10</definedName>
    <definedName name="RentalYieldPct">'1. Assumptions'!$B$11</definedName>
    <definedName name="SafeBudgetMultiplier">'1. Assumptions'!$B$12</definedName>
    <definedName name="StretchBudgetMultiplier">'1. Assumptions'!$B$13</definedName>
    <definedName name="RiskZoneMultiplier">'1. Assumptions'!$B$14</definedName>
    <definedName name="RtoContractFeeRate">'1. Assumptions'!$B$15</definedName>
    <definedName name="RtoPriceMarkupRate">'1. Assumptions'!$B$16</definedName>
    <definedName name="RtoPaymentPerMillion">'1. Assumptions'!$B$17</definedName>
    <definedName name="RtoYear1Rate">'1. Assumptions'!$B$18</definedName>
    <definedName name="RtoYear2Rate">'1. Assumptions'!$B$19</definedName>
    <definedName name="RtoYear3Rate">'1. Assumptions'!$B$20</definedName>
    <definedName name="BuyLoanTenureYears">'1. Assumptions'!$B$21</definedName>
    <definedName name="RtoPeriodYears">'1. Assumptions'!$B$22</definedName>
    <definedName name="ComfortableThreshold">'1. Assumptions'!$B$23</definedName>
    <definedName name="TightThreshold">'1. Assumptions'!$B$24</definedName>
    <definedName name="ReadinessBudgetWeight">'1. Assumptions'!$B$25</definedName>
    <definedName name="ReadinessCashWeight">'1. Assumptions'!$B$26</definedName>
    <definedName name="ReadinessTimelineWeight">'1. Assumptions'!$B$27</definedName>
    <definedName name="PrimaryIncomeMonthly">'2. Inputs'!$B$6</definedName>
    <definedName name="AdditionalIncomeMonthly">'2. Inputs'!$B$7</definedName>
    <definedName name="BonusAnnual">'2. Inputs'!$B$8</definedName>
    <definedName name="HomeLoanMonthly">'2. Inputs'!$B$9</definedName>
    <definedName name="OtherDebtMonthly">'2. Inputs'!$B$10</definedName>
    <definedName name="MonthlyLivingExpenses">'2. Inputs'!$B$11</definedName>
    <definedName name="AnnualLumpSumExpenses">'2. Inputs'!$B$12</definedName>
    <definedName name="IsRenting">'2. Inputs'!$B$13</definedName>
    <definedName name="MonthlyRent">'2. Inputs'!$B$14</definedName>
    <definedName name="TotalSavings">'2. Inputs'!$B$15</definedName>
    <definedName name="AvailableDownPayment">'2. Inputs'!$B$16</definedName>
    <definedName name="MaxComfortableInstallment">'2. Inputs'!$B$17</definedName>
    <definedName name="TargetHomePrice">'2. Inputs'!$B$18</definedName>
    <definedName name="TargetTimelineMonths">'2. Inputs'!$B$19</definedName>
    <definedName name="ExpectedAppreciationPct">'2. Inputs'!$B$20</definedName>
    <definedName name="SteadyMonthlyIncome">'3. Income &amp; Expenses'!$B$4</definedName>
    <definedName name="VariableMonthlyIncome">'3. Income &amp; Expenses'!$B$5</definedName>
    <definedName name="GrossMonthlyIncome">'3. Income &amp; Expenses'!$B$6</definedName>
    <definedName name="BankQualifyingMonthlyIncome">'3. Income &amp; Expenses'!$B$7</definedName>
    <definedName name="TotalMonthlyDebt">'3. Income &amp; Expenses'!$B$8</definedName>
    <definedName name="EffMonthlyRent">'3. Income &amp; Expenses'!$B$10</definedName>
    <definedName name="MonthlyLumpSumEquivalent">'3. Income &amp; Expenses'!$B$11</definedName>
    <definedName name="MonthlyCashFlowBeforeHousing">'3. Income &amp; Expenses'!$B$12</definedName>
    <definedName name="MonthlySavingCapacity">'3. Income &amp; Expenses'!$B$13</definedName>
    <definedName name="IncomeAfterOtherObligations">'3. Income &amp; Expenses'!$B$15</definedName>
    <definedName name="AffordableByDSR">'4. Purchasing Power (Buy)'!$B$4</definedName>
    <definedName name="AffordableByBudget">'4. Purchasing Power (Buy)'!$B$5</definedName>
    <definedName name="RecommendedPreComfort">'4. Purchasing Power (Buy)'!$B$6</definedName>
    <definedName name="BindingPreComfort">'4. Purchasing Power (Buy)'!$B$7</definedName>
    <definedName name="RecommendedMonthlyInstallment">'4. Purchasing Power (Buy)'!$B$8</definedName>
    <definedName name="BindingInstallmentCeiling">'4. Purchasing Power (Buy)'!$B$9</definedName>
    <definedName name="BuyMonthlyRate">'4. Purchasing Power (Buy)'!$B$11</definedName>
    <definedName name="BuyNumPayments">'4. Purchasing Power (Buy)'!$B$12</definedName>
    <definedName name="BuyLoanFactor">'4. Purchasing Power (Buy)'!$B$13</definedName>
    <definedName name="LoanCapacity">'4. Purchasing Power (Buy)'!$B$14</definedName>
    <definedName name="MaxHomePrice">'4. Purchasing Power (Buy)'!$B$15</definedName>
    <definedName name="EstimatedLoanAmount">'4. Purchasing Power (Buy)'!$B$16</definedName>
    <definedName name="SafeBudget">'4. Purchasing Power (Buy)'!$B$18</definedName>
    <definedName name="StretchBudget">'4. Purchasing Power (Buy)'!$B$19</definedName>
    <definedName name="RiskZoneThreshold">'4. Purchasing Power (Buy)'!$B$20</definedName>
    <definedName name="IsDownPaymentReady">'5. Action Plan (Buy)'!$B$6</definedName>
    <definedName name="MonthsToReady">'5. Action Plan (Buy)'!$B$9</definedName>
    <definedName name="YearsToReady">'5. Action Plan (Buy)'!$B$10</definedName>
    <definedName name="RequiredMonthlySavingForTarget">'5. Action Plan (Buy)'!$B$13</definedName>
    <definedName name="BudgetFit">'6. Readiness Score'!$B$5</definedName>
    <definedName name="TimelineFit">'6. Readiness Score'!$B$6</definedName>
    <definedName name="ReadinessPercent">'6. Readiness Score'!$B$8</definedName>
    <definedName name="Basis_MaxHomePrice">'7a. Wealth — Recommended'!$B$4</definedName>
    <definedName name="LoanForHome_MaxHomePrice">'7a. Wealth — Recommended'!$B$5</definedName>
    <definedName name="Installment_MaxHomePrice">'7a. Wealth — Recommended'!$B$6</definedName>
    <definedName name="EstMonthlyRent_MaxHomePrice">'7a. Wealth — Recommended'!$B$7</definedName>
    <definedName name="HomeValueYear10_MaxHomePrice">'7a. Wealth — Recommended'!$B$23</definedName>
    <definedName name="Basis_TargetHomePrice">'7b. Wealth — Target Price'!$B$4</definedName>
    <definedName name="LoanForHome_TargetHomePrice">'7b. Wealth — Target Price'!$B$5</definedName>
    <definedName name="Installment_TargetHomePrice">'7b. Wealth — Target Price'!$B$6</definedName>
    <definedName name="EstMonthlyRent_TargetHomePrice">'7b. Wealth — Target Price'!$B$7</definedName>
    <definedName name="HomeValueYear10_TargetHomePrice">'7b. Wealth — Target Price'!$B$23</definedName>
    <definedName name="RtoPrice_MaxHomePrice">'8a. RTO — Recommended'!$B$5</definedName>
    <definedName name="RtoContractFee_MaxHomePrice">'8a. RTO — Recommended'!$B$6</definedName>
    <definedName name="RtoMonthlyPayment_MaxHomePrice">'8a. RTO — Recommended'!$B$7</definedName>
    <definedName name="PaidToward3Yr_MaxHomePrice">'8a. RTO — Recommended'!$B$48</definedName>
    <definedName name="RtoHomeValueYear10_MaxHomePrice">'8a. RTO — Recommended'!$B$49</definedName>
    <definedName name="RtoPrice_TargetHomePrice">'8b. RTO — Target Price'!$B$5</definedName>
    <definedName name="RtoContractFee_TargetHomePrice">'8b. RTO — Target Price'!$B$6</definedName>
    <definedName name="RtoMonthlyPayment_TargetHomePrice">'8b. RTO — Target Price'!$B$7</definedName>
    <definedName name="PaidToward3Yr_TargetHomePrice">'8b. RTO — Target Price'!$B$48</definedName>
    <definedName name="RtoHomeValueYear10_TargetHomePrice">'8b. RTO — Target Price'!$B$49</definedName>
    <definedName name="HpgBasis_Rec">'4a. Home Price Gap (Rec)'!$B$6</definedName>
    <definedName name="HpgPriceGap_Rec">'4a. Home Price Gap (Rec)'!$B$7</definedName>
    <definedName name="HpgPriceGapClosed_Rec">'4a. Home Price Gap (Rec)'!$B$8</definedName>
    <definedName name="HpgRequiredDownPayment_Rec">'4a. Home Price Gap (Rec)'!$B$9</definedName>
    <definedName name="HpgRemainingDownPayment_Rec">'4a. Home Price Gap (Rec)'!$B$10</definedName>
    <definedName name="HpgTransactionCost_Rec">'4a. Home Price Gap (Rec)'!$B$11</definedName>
    <definedName name="HpgAdditionalInstallment_Rec">'4a. Home Price Gap (Rec)'!$B$14</definedName>
    <definedName name="HpgRequiredInstallment_Rec">'4a. Home Price Gap (Rec)'!$B$15</definedName>
    <definedName name="HpgDownsize_Rec">'4a. Home Price Gap (Rec)'!$B$18</definedName>
    <definedName name="HpgOverRiskAmount_Rec">'4a. Home Price Gap (Rec)'!$B$19</definedName>
    <definedName name="HpgBasis_Tgt">'4b. Home Price Gap (Tgt)'!$B$6</definedName>
    <definedName name="HpgPriceGap_Tgt">'4b. Home Price Gap (Tgt)'!$B$7</definedName>
    <definedName name="HpgPriceGapClosed_Tgt">'4b. Home Price Gap (Tgt)'!$B$8</definedName>
    <definedName name="HpgRequiredDownPayment_Tgt">'4b. Home Price Gap (Tgt)'!$B$9</definedName>
    <definedName name="HpgRemainingDownPayment_Tgt">'4b. Home Price Gap (Tgt)'!$B$10</definedName>
    <definedName name="HpgTransactionCost_Tgt">'4b. Home Price Gap (Tgt)'!$B$11</definedName>
    <definedName name="HpgAdditionalInstallment_Tgt">'4b. Home Price Gap (Tgt)'!$B$14</definedName>
    <definedName name="HpgRequiredInstallment_Tgt">'4b. Home Price Gap (Tgt)'!$B$15</definedName>
    <definedName name="HpgDownsize_Tgt">'4b. Home Price Gap (Tgt)'!$B$18</definedName>
    <definedName name="HpgOverRiskAmount_Tgt">'4b. Home Price Gap (Tgt)'!$B$19</definedName>
    <definedName name="RequiredDownPayment">'5. Action Plan (Buy)'!$B$4</definedName>
    <definedName name="RemainingDownPayment">'5. Action Plan (Buy)'!$B$5</definedName>
    <definedName name="TransactionCostEstimate">'5. Action Plan (Buy)'!$B$7</definedName>
    <definedName name="DownPaymentCoverage">'6. Readiness Score'!$B$4</definedName>
    <definedName name="RtoContractFeeGap_MaxHomePrice">'10a. RTO Plan — Recommended'!$B$9</definedName>
    <definedName name="RtoContractFeeGapClosed_MaxHomePrice">'10a. RTO Plan — Recommended'!$B$10</definedName>
    <definedName name="RtoContractFeeGap_TargetHomePrice">'10b. RTO Plan — Target Price'!$B$9</definedName>
    <definedName name="RtoContractFeeGapClosed_TargetHomePrice">'10b. RTO Plan — Target Price'!$B$10</definedName>
    <definedName name="RentRequiredDeposit_MaxHomePrice">'11a. Rent Plan — Recommended'!$B$6</definedName>
    <definedName name="RentDepositGap_MaxHomePrice">'11a. Rent Plan — Recommended'!$B$8</definedName>
    <definedName name="RentDepositReady_MaxHomePrice">'11a. Rent Plan — Recommended'!$B$9</definedName>
    <definedName name="RentRemainingMonthly_MaxHomePrice">'11a. Rent Plan — Recommended'!$B$10</definedName>
    <definedName name="RentHasShortfall_MaxHomePrice">'11a. Rent Plan — Recommended'!$B$11</definedName>
    <definedName name="RentRequiredDeposit_TargetHomePrice">'11b. Rent Plan — Target Price'!$B$6</definedName>
    <definedName name="RentDepositGap_TargetHomePrice">'11b. Rent Plan — Target Price'!$B$8</definedName>
    <definedName name="RentDepositReady_TargetHomePrice">'11b. Rent Plan — Target Price'!$B$9</definedName>
    <definedName name="RentRemainingMonthly_TargetHomePrice">'11b. Rent Plan — Target Price'!$B$10</definedName>
    <definedName name="RentHasShortfall_TargetHomePrice">'11b. Rent Plan — Target Price'!$B$11</definedName>
    <definedName name="CoBorrowerIncomeMonthly">'2. Inputs'!$B$21</definedName>
    <definedName name="CoBorrowerDebtMonthly">'2. Inputs'!$B$22</definedName>
    <definedName name="RtoPaidTowardPrice_MaxHomePrice">'8a. RTO — Recommended'!$B$48</definedName>
    <definedName name="RtoRemainingPrincipal_MaxHomePrice">'8a. RTO — Recommended'!$B$50</definedName>
    <definedName name="RtoPostTransitionMonthly_MaxHomePrice">'8a. RTO — Recommended'!$B$51</definedName>
    <definedName name="RtoTotalPaid10Y_MaxHomePrice">'8a. RTO — Recommended'!$B$52</definedName>
    <definedName name="RtoPaidTowardPrice_TargetHomePrice">'8b. RTO — Target Price'!$B$48</definedName>
    <definedName name="RtoRemainingPrincipal_TargetHomePrice">'8b. RTO — Target Price'!$B$50</definedName>
    <definedName name="RtoPostTransitionMonthly_TargetHomePrice">'8b. RTO — Target Price'!$B$51</definedName>
    <definedName name="RtoTotalPaid10Y_TargetHomePrice">'8b. RTO — Target Price'!$B$52</definedName>
    <definedName name="RtoRemainingMonthly_MaxHomePrice">'10a. RTO Plan — Recommended'!$B$20</definedName>
    <definedName name="RtoHasShortfall_MaxHomePrice">'10a. RTO Plan — Recommended'!$B$22</definedName>
    <definedName name="RtoRemainingMonthly_TargetHomePrice">'10b. RTO Plan — Target Price'!$B$20</definedName>
    <definedName name="RtoHasShortfall_TargetHomePrice">'10b. RTO Plan — Target Price'!$B$22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฿&quot;#,##0"/>
    <numFmt numFmtId="165" formatCode="0.0000"/>
    <numFmt numFmtId="166" formatCode="0.0&quot;%&quot;"/>
    <numFmt numFmtId="167" formatCode="0&quot;%&quot;"/>
  </numFmts>
  <fonts count="14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B6178"/>
      <sz val="9"/>
    </font>
    <font>
      <b val="1"/>
    </font>
    <font>
      <i val="1"/>
      <color rgb="002765FF"/>
    </font>
    <font>
      <b val="1"/>
      <i val="1"/>
    </font>
    <font>
      <b val="1"/>
      <color rgb="000A1157"/>
    </font>
    <font>
      <i val="1"/>
    </font>
    <font>
      <sz val="11"/>
    </font>
    <font>
      <b val="1"/>
      <sz val="11"/>
    </font>
    <font>
      <color rgb="005B6178"/>
      <sz val="9"/>
    </font>
    <font>
      <i val="1"/>
      <color rgb="005B6178"/>
    </font>
    <font>
      <b val="1"/>
      <sz val="14"/>
    </font>
    <font/>
  </fonts>
  <fills count="4">
    <fill>
      <patternFill/>
    </fill>
    <fill>
      <patternFill patternType="gray125"/>
    </fill>
    <fill>
      <patternFill patternType="solid">
        <fgColor rgb="000A1157"/>
      </patternFill>
    </fill>
    <fill>
      <patternFill patternType="solid">
        <fgColor rgb="00FFF6D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0" fontId="0" fillId="3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wrapText="1"/>
    </xf>
    <xf numFmtId="3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166" fontId="0" fillId="0" borderId="1" pivotButton="0" quotePrefix="0" xfId="0"/>
    <xf numFmtId="167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12" fillId="2" borderId="0" applyAlignment="1" pivotButton="0" quotePrefix="0" xfId="0">
      <alignment vertical="center" indent="1"/>
    </xf>
    <xf numFmtId="0" fontId="1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11" fillId="0" borderId="0" pivotButton="0" quotePrefix="0" xfId="0"/>
    <xf numFmtId="0" fontId="3" fillId="2" borderId="0" applyAlignment="1" pivotButton="0" quotePrefix="0" xfId="0">
      <alignment vertical="center" indent="1"/>
    </xf>
    <xf numFmtId="0" fontId="11" fillId="0" borderId="0" applyAlignment="1" pivotButton="0" quotePrefix="0" xfId="0">
      <alignment wrapText="1"/>
    </xf>
    <xf numFmtId="0" fontId="1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13" fillId="0" borderId="1" pivotButton="0" quotePrefix="0" xfId="0"/>
    <xf numFmtId="0" fontId="13" fillId="0" borderId="0" applyAlignment="1" pivotButton="0" quotePrefix="0" xfId="0">
      <alignment vertical="top" wrapText="1"/>
    </xf>
    <xf numFmtId="0" fontId="13" fillId="0" borderId="0" pivotButton="0" quotePrefix="0" xfId="0"/>
    <xf numFmtId="164" fontId="13" fillId="0" borderId="0" pivotButton="0" quotePrefix="0" xfId="0"/>
    <xf numFmtId="0" fontId="13" fillId="0" borderId="1" pivotButton="0" quotePrefix="0" xfId="0"/>
    <xf numFmtId="0" fontId="1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22" t="inlineStr">
        <is>
          <t>Home Ready — Calculation Logic Summary</t>
        </is>
      </c>
    </row>
    <row r="4">
      <c r="A4" s="2" t="inlineStr">
        <is>
          <t>This workbook is a live, formula-driven mirror of every calculation in src/lib/calculations.ts (the Home Ready app's</t>
        </is>
      </c>
    </row>
    <row r="5">
      <c r="A5" s="2" t="inlineStr">
        <is>
          <t>single source of truth for all numbers). Every yellow cell is an editable input or assumption; every white cell is a</t>
        </is>
      </c>
    </row>
    <row r="6">
      <c r="A6" s="2" t="inlineStr">
        <is>
          <t>formula that recomputes automatically, exactly like the live app / its Master Mode.</t>
        </is>
      </c>
    </row>
    <row r="8">
      <c r="A8" s="3" t="inlineStr">
        <is>
          <t>How to use it to check the app's logic:</t>
        </is>
      </c>
    </row>
    <row r="9">
      <c r="A9" s="2" t="inlineStr">
        <is>
          <t xml:space="preserve">  1. Set Sheet 2 (Inputs) to match a real scenario — or open the app's Master Mode side-by-side and copy its values in.</t>
        </is>
      </c>
    </row>
    <row r="10">
      <c r="A10" s="2" t="inlineStr">
        <is>
          <t xml:space="preserve">  2. Compare each computed number here to the same number shown in the app.</t>
        </is>
      </c>
    </row>
    <row r="11">
      <c r="A11" s="2" t="inlineStr">
        <is>
          <t xml:space="preserve">  3. If anything disagrees, the sheet name + row label tells you exactly which TypeScript function to check</t>
        </is>
      </c>
    </row>
    <row r="12">
      <c r="A12" s="2" t="inlineStr">
        <is>
          <t xml:space="preserve">     (every formula's cell/row is labeled after its calculations.ts function name).</t>
        </is>
      </c>
    </row>
    <row r="14">
      <c r="A14" s="3" t="inlineStr">
        <is>
          <t>Sheet map:</t>
        </is>
      </c>
    </row>
    <row r="15">
      <c r="A15" s="2" t="inlineStr">
        <is>
          <t xml:space="preserve">  1. Assumptions             — CalculationAssumptions (the tunable values Master Mode exposes, plus fixed constants).</t>
        </is>
      </c>
    </row>
    <row r="16">
      <c r="A16" s="2" t="inlineStr">
        <is>
          <t xml:space="preserve">  2. Inputs                  — QuestionnaireAnswers (everything the questionnaire form collects).</t>
        </is>
      </c>
    </row>
    <row r="17">
      <c r="A17" s="2" t="inlineStr">
        <is>
          <t xml:space="preserve">  3. Income &amp; Expenses       — calculateIncomeProfile / resolveExpenseProfile.</t>
        </is>
      </c>
    </row>
    <row r="18">
      <c r="A18" s="2" t="inlineStr">
        <is>
          <t xml:space="preserve">  4. Purchasing Power        — calculatePurchasingPower / calculateInstallmentCeilings (Buy's DSR/Budget/Comfort</t>
        </is>
      </c>
    </row>
    <row r="19">
      <c r="A19" s="2" t="inlineStr">
        <is>
          <t xml:space="preserve">                                ceilings, Recommended Home Price, Safe/Stretch/Risk zones).</t>
        </is>
      </c>
    </row>
    <row r="20">
      <c r="A20" s="2" t="inlineStr">
        <is>
          <t xml:space="preserve">  4a/4b. Home Price Gap &amp; Plan — calculateBuyGapNarrative: THE GAP/THE PLAN/Additional Option — SHARED verbatim</t>
        </is>
      </c>
    </row>
    <row r="21">
      <c r="A21" s="2" t="inlineStr">
        <is>
          <t xml:space="preserve">                                between Buy and RTO (one financial-eligibility ceiling for both).</t>
        </is>
      </c>
    </row>
    <row r="22">
      <c r="A22" s="2" t="inlineStr">
        <is>
          <t xml:space="preserve">  5. Action Plan             — calculateActionPlan (down-payment-ONLY savings timeline for Buy; transaction costs</t>
        </is>
      </c>
    </row>
    <row r="23">
      <c r="A23" s="2" t="inlineStr">
        <is>
          <t xml:space="preserve">                                shown separately and never counted here — see row 7).</t>
        </is>
      </c>
    </row>
    <row r="24">
      <c r="A24" s="2" t="inlineStr">
        <is>
          <t xml:space="preserve">  6. Readiness Score         — calculateReadiness (weighted 0-100 composite: Budget Fit 50% / Down Payment</t>
        </is>
      </c>
    </row>
    <row r="25">
      <c r="A25" s="2" t="inlineStr">
        <is>
          <t xml:space="preserve">                                Coverage 35% / Timeline Fit 15% + status; archetype is computed but no longer shown).</t>
        </is>
      </c>
    </row>
    <row r="26">
      <c r="A26" s="2" t="inlineStr">
        <is>
          <t xml:space="preserve">  7a/7b. Wealth Comparison   — calculateWealthComparison (10-year home value, loan amortization, home equity) —</t>
        </is>
      </c>
    </row>
    <row r="27">
      <c r="A27" s="2" t="inlineStr">
        <is>
          <t xml:space="preserve">                                one sheet per home-price basis (Recommended vs. your Target).</t>
        </is>
      </c>
    </row>
    <row r="28">
      <c r="A28" s="2" t="inlineStr">
        <is>
          <t xml:space="preserve">  8a/8b. Rent-to-Own         — calculateRentToOwn (contract price, fee, monthly payment, 36-month amortization).</t>
        </is>
      </c>
    </row>
    <row r="29">
      <c r="A29" s="2" t="inlineStr">
        <is>
          <t xml:space="preserve">  9a/9b. Cash Flow           — calculateBuyVsRentCashFlow (the Rent / Rent-to-Own / Buy side-by-side comparison:</t>
        </is>
      </c>
    </row>
    <row r="30">
      <c r="A30" s="2" t="inlineStr">
        <is>
          <t xml:space="preserve">                                Remaining Monthly Income, cushion status, Initial Payment, Total Paid Over 10 Years, Capital Value, and Net Cash Flow over 10 Years (calculateNetCashFlow10Years).</t>
        </is>
      </c>
    </row>
    <row r="31">
      <c r="A31" t="inlineStr">
        <is>
          <t xml:space="preserve">  10a/10b. RTO Plan          — calculateRtoGapPlan: RTO-specific-only now (contract fee gap, monthly cushion).</t>
        </is>
      </c>
    </row>
    <row r="32">
      <c r="A32" s="3" t="inlineStr">
        <is>
          <t xml:space="preserve">                                Home Price Gap/Plan/Additional Option are pulled from Sheet 4a/4b, not recomputed.</t>
        </is>
      </c>
    </row>
    <row r="33">
      <c r="A33" s="2" t="inlineStr">
        <is>
          <t xml:space="preserve">  11a/11b. Rent Plan         — calculateRentGapPlan: rental deposit gap (checked against Total Savings) PLUS the</t>
        </is>
      </c>
    </row>
    <row r="34">
      <c r="A34" s="2" t="inlineStr">
        <is>
          <t xml:space="preserve">                                monthly-shortfall check.</t>
        </is>
      </c>
    </row>
    <row r="35">
      <c r="A35" t="inlineStr">
        <is>
          <t xml:space="preserve">  12. Advisory Notices       — getAdvisoryNotices (the pre-housing negative-cash-flow warning).</t>
        </is>
      </c>
    </row>
    <row r="37">
      <c r="A37" t="inlineStr">
        <is>
          <t>What changed in this revision (vs. the prior workbook):</t>
        </is>
      </c>
    </row>
    <row r="38">
      <c r="A38" t="inlineStr">
        <is>
          <t xml:space="preserve">  • Readiness Score's cash sub-score is now Down Payment Coverage (down payment only) — transaction/registration</t>
        </is>
      </c>
    </row>
    <row r="39">
      <c r="A39" t="inlineStr">
        <is>
          <t xml:space="preserve">    costs are shown separately (Sheet 5, row 7) and never dilute the score. Was: Closing Cash Coverage (down</t>
        </is>
      </c>
    </row>
    <row r="40">
      <c r="A40" t="inlineStr">
        <is>
          <t xml:space="preserve">    payment + transaction costs combined).</t>
        </is>
      </c>
    </row>
    <row r="41">
      <c r="A41" t="inlineStr">
        <is>
          <t xml:space="preserve">  • RTO no longer computes its own ‘affordable home price’ from RTO cash flow — Buy and RTO now share ONE</t>
        </is>
      </c>
    </row>
    <row r="42">
      <c r="A42" t="inlineStr">
        <is>
          <t xml:space="preserve">    Recommended Home Price / home-price-gap calculation (see Sheet 4a/4b). calculateRtoAffordablePrice, along with</t>
        </is>
      </c>
    </row>
    <row r="43">
      <c r="A43" t="inlineStr">
        <is>
          <t xml:space="preserve">    the old priceReductionTHB/affordablePriceTHB fields, was removed from the app entirely.</t>
        </is>
      </c>
    </row>
    <row r="44">
      <c r="A44" t="inlineStr">
        <is>
          <t xml:space="preserve">  • RTO's Additional Option now reads identically to Buy's (same stretch/risk-zone suggestion) instead of its own</t>
        </is>
      </c>
    </row>
    <row r="45">
      <c r="A45" t="inlineStr">
        <is>
          <t xml:space="preserve">    ‘lower home price’ message.</t>
        </is>
      </c>
    </row>
    <row r="46">
      <c r="A46" t="inlineStr">
        <is>
          <t xml:space="preserve">  • Rent gained a real upfront-cash check: the 2-month rental deposit vs. Total Savings (Sheet 11a/11b) — this did</t>
        </is>
      </c>
    </row>
    <row r="47">
      <c r="A47" t="inlineStr">
        <is>
          <t xml:space="preserve">    not exist in the prior workbook at all.</t>
        </is>
      </c>
    </row>
    <row r="48">
      <c r="A48" t="inlineStr">
        <is>
          <t xml:space="preserve">  • In the app's UI (not modeled by cell visibility here, but noted inline): a GAP row is hidden whenever its</t>
        </is>
      </c>
    </row>
    <row r="49">
      <c r="A49" t="inlineStr">
        <is>
          <t xml:space="preserve">    amount is ฿0, and RTO's/Rent's monthly-cushion rows are hidden unless the cushion status isn't Comfortable.</t>
        </is>
      </c>
    </row>
    <row r="50">
      <c r="A50" t="inlineStr">
        <is>
          <t xml:space="preserve">    Every sheet still computes the real value regardless — only display is conditional.</t>
        </is>
      </c>
    </row>
    <row r="52">
      <c r="A52" t="inlineStr">
        <is>
          <t xml:space="preserve">  • Steady Monthly Income and Total Monthly Debt (Sheet 3) now include an optional</t>
        </is>
      </c>
    </row>
    <row r="53">
      <c r="A53" t="inlineStr">
        <is>
          <t xml:space="preserve">    co-borrower — Co-borrower income (monthly) and Co-borrower debt (monthly), added on Sheet 2 —</t>
        </is>
      </c>
    </row>
    <row r="54">
      <c r="A54" t="inlineStr">
        <is>
          <t xml:space="preserve">    at the same full weight as the applicant's own figures. Everything downstream (Loan Capacity,</t>
        </is>
      </c>
    </row>
    <row r="55">
      <c r="A55" t="inlineStr">
        <is>
          <t xml:space="preserve">    Recommended Home Price, Readiness, Remaining Monthly Income) inherits this automatically.</t>
        </is>
      </c>
    </row>
    <row r="57">
      <c r="A57" t="inlineStr">
        <is>
          <t xml:space="preserve">  • Recommended Home Price (Sheet 4, row 15) is redefined: LoanCapacity / (1-DownPaymentRate),</t>
        </is>
      </c>
    </row>
    <row r="58">
      <c r="A58" t="inlineStr">
        <is>
          <t xml:space="preserve">    no longer LoanCapacity + AvailableDownPayment. It now represents affordability (borrowing/</t>
        </is>
      </c>
    </row>
    <row r="59">
      <c r="A59" t="inlineStr">
        <is>
          <t xml:space="preserve">    repayment capacity alone, assuming the minimum required down payment) — today's actual cash</t>
        </is>
      </c>
    </row>
    <row r="60">
      <c r="A60" t="inlineStr">
        <is>
          <t xml:space="preserve">    no longer raises or lowers it; that's the separate Down Payment Gap question (Sheet 4a/4b).</t>
        </is>
      </c>
    </row>
    <row r="61">
      <c r="A61" t="inlineStr">
        <is>
          <t xml:space="preserve">  • Cascading fixes: Additional Monthly Installment Needed (Sheet 4a/4b, row 14) gained a</t>
        </is>
      </c>
    </row>
    <row r="62">
      <c r="A62" t="inlineStr">
        <is>
          <t xml:space="preserve">    (1-DownPaymentRate) correction factor — it's now the ONLY lever that closes a home price gap,</t>
        </is>
      </c>
    </row>
    <row r="63">
      <c r="A63" t="inlineStr">
        <is>
          <t xml:space="preserve">    since extra down payment cash no longer moves Max Home Price. Sheet 7a's Loan for Home</t>
        </is>
      </c>
    </row>
    <row r="64">
      <c r="A64" t="inlineStr">
        <is>
          <t xml:space="preserve">    (row 5) now uses the assumed minimum down payment instead of real cash, so the Recommended-</t>
        </is>
      </c>
    </row>
    <row r="65">
      <c r="A65" t="inlineStr">
        <is>
          <t xml:space="preserve">    basis Buy installment in the comparison grid always matches Sheet 4's Recommended Monthly</t>
        </is>
      </c>
    </row>
    <row r="66">
      <c r="A66" t="inlineStr">
        <is>
          <t xml:space="preserve">    Installment exactly — Sheet 7b (Target Price) is unchanged and still uses real cash.</t>
        </is>
      </c>
    </row>
    <row r="68">
      <c r="A68" t="inlineStr">
        <is>
          <t xml:space="preserve">  • Rent projection (Sheet 7a/7b, col F, Total Rent Paid) now grows with the property's own</t>
        </is>
      </c>
    </row>
    <row r="69">
      <c r="A69" t="inlineStr">
        <is>
          <t xml:space="preserve">    appreciation at the same constant Rental Yield %, instead of assuming flat rent for 10 years</t>
        </is>
      </c>
    </row>
    <row r="70">
      <c r="A70" t="inlineStr">
        <is>
          <t xml:space="preserve">    (calculateWealthComparison). The top-level Estimated Monthly Rent / Monthly Payment figure</t>
        </is>
      </c>
    </row>
    <row r="71">
      <c r="A71" t="inlineStr">
        <is>
          <t xml:space="preserve">    shown in the app is UNCHANGED — still today's snapshot; only the 10-year cumulative grows.</t>
        </is>
      </c>
    </row>
    <row r="72">
      <c r="A72" t="inlineStr">
        <is>
          <t xml:space="preserve">    Buy vs Rent's own Total Paid Over 10 Years for Rent now reads this cumulative total instead</t>
        </is>
      </c>
    </row>
    <row r="73">
      <c r="A73" t="inlineStr">
        <is>
          <t xml:space="preserve">    of a flat multiply, too — Buy's and RTO's totals are untouched (those payments really are fixed).</t>
        </is>
      </c>
    </row>
    <row r="74">
      <c r="A74" t="inlineStr">
        <is>
          <t xml:space="preserve">  • Fixed an Excel-only bug in Sheet 7a/7b's Loan Balance formula (col C): an unparenthesized</t>
        </is>
      </c>
    </row>
    <row r="75">
      <c r="A75" t="inlineStr">
        <is>
          <t xml:space="preserve">    exponent (^months instead of ^(months)) made Excel compute (1+rate)^months_as_a_multiplier</t>
        </is>
      </c>
    </row>
    <row r="76">
      <c r="A76" t="inlineStr">
        <is>
          <t xml:space="preserve">    instead of raising to the months power, clamping every year's balance to ฿0. The live app was</t>
        </is>
      </c>
    </row>
    <row r="77">
      <c r="A77" t="inlineStr">
        <is>
          <t xml:space="preserve">    never affected — this was purely a formula-translation bug in this workbook.</t>
        </is>
      </c>
    </row>
    <row r="79">
      <c r="A79" t="inlineStr">
        <is>
          <t xml:space="preserve">  • Loan for Home (Sheet 7b, row 5) was still using AvailableDownPayment — now fixed to match</t>
        </is>
      </c>
    </row>
    <row r="80">
      <c r="A80" t="inlineStr">
        <is>
          <t xml:space="preserve">    Sheet 7a: both Recommended and Target Price use the assumed minimum down payment</t>
        </is>
      </c>
    </row>
    <row r="81">
      <c r="A81" t="inlineStr">
        <is>
          <t xml:space="preserve">    (homePriceBasis*DownPaymentRate) for the modeled mortgage. Real AvailableDownPayment is</t>
        </is>
      </c>
    </row>
    <row r="82">
      <c r="A82" t="inlineStr">
        <is>
          <t xml:space="preserve">    used only for the Down Payment Gap (Sheet 4a/4b), never for sizing the modeled loan.</t>
        </is>
      </c>
    </row>
    <row r="83">
      <c r="A83" t="inlineStr">
        <is>
          <t xml:space="preserve">  • RTO is now modeled as a 3-year pathway to ownership, not a flat payment for 10 years</t>
        </is>
      </c>
    </row>
    <row r="84">
      <c r="A84" t="inlineStr">
        <is>
          <t xml:space="preserve">    (Sheet 8a/8b, rows 50-52): at Year 3 the household transitions to a normal mortgage on</t>
        </is>
      </c>
    </row>
    <row r="85">
      <c r="A85" t="inlineStr">
        <is>
          <t xml:space="preserve">    the RTO contract price's remaining principal, using Buy's own financing assumption</t>
        </is>
      </c>
    </row>
    <row r="86">
      <c r="A86" t="inlineStr">
        <is>
          <t xml:space="preserve">    (BuyLoanFactor — a fresh 30-year mortgage, not 27 years remaining). Total Paid Over 10</t>
        </is>
      </c>
    </row>
    <row r="87">
      <c r="A87" t="inlineStr">
        <is>
          <t xml:space="preserve">    Years (RTO) = contract fee + 3yr RTO payments + 7yr post-transition mortgage.</t>
        </is>
      </c>
    </row>
    <row r="88">
      <c r="A88" t="inlineStr">
        <is>
          <t xml:space="preserve">  • Sheet 9a/9b row 11 (Total Paid Over 10 Years) now actually reads Sheet 7's growing</t>
        </is>
      </c>
    </row>
    <row r="89">
      <c r="A89" t="inlineStr">
        <is>
          <t xml:space="preserve">    cumulative rent total for Rent, and Sheet 8's new RTO total for RTO — both were still a</t>
        </is>
      </c>
    </row>
    <row r="90">
      <c r="A90" t="inlineStr">
        <is>
          <t xml:space="preserve">    flat multiply despite an earlier changelog entry claiming Rent's fix was applied here too.</t>
        </is>
      </c>
    </row>
    <row r="91">
      <c r="A91" t="inlineStr">
        <is>
          <t xml:space="preserve">  • Sheet 10a/10b (RTO Plan) revised: RTO's Gap &amp; Plan no longer reuses Buy's installment</t>
        </is>
      </c>
    </row>
    <row r="92">
      <c r="A92" t="inlineStr">
        <is>
          <t xml:space="preserve">    math (Additional Monthly Installment Needed / Required Monthly Installment for Target) —</t>
        </is>
      </c>
    </row>
    <row r="93">
      <c r="A93" t="inlineStr">
        <is>
          <t xml:space="preserve">    Home Price Gap stays the shared, informational-only affordability benchmark (relabeled to</t>
        </is>
      </c>
    </row>
    <row r="94">
      <c r="A94" t="inlineStr">
        <is>
          <t xml:space="preserve">    say so explicitly), while the PLAN is now entirely RTO-specific: contract fee readiness,</t>
        </is>
      </c>
    </row>
    <row r="95">
      <c r="A95" t="inlineStr">
        <is>
          <t xml:space="preserve">    plus a new first-class Monthly Shortfall (Years 1-3) GAP/PLAN row computed from RTO's own</t>
        </is>
      </c>
    </row>
    <row r="96">
      <c r="A96" t="inlineStr">
        <is>
          <t xml:space="preserve">    monthly payment — this data already existed (RtoRemainingMonthly_*/RtoHasShortfall_*) but</t>
        </is>
      </c>
    </row>
    <row r="97">
      <c r="A97" t="inlineStr">
        <is>
          <t xml:space="preserve">    was previously buried in a conditional 'build more breathing room' aside, not a GAP/PLAN row.</t>
        </is>
      </c>
    </row>
    <row r="98">
      <c r="A98" t="inlineStr">
        <is>
          <t xml:space="preserve">  • Added a Net Cash Flow over 10 Years row to the Cash Flow comparison (Sheet 9a/9b, row 13):</t>
        </is>
      </c>
    </row>
    <row r="99">
      <c r="A99" t="inlineStr">
        <is>
          <t xml:space="preserve">    Capital Value minus Total Paid, sign-colored — the single bottom-line figure netting equity built</t>
        </is>
      </c>
    </row>
    <row r="100">
      <c r="A100" t="inlineStr">
        <is>
          <t xml:space="preserve">    against cash spent (calculateNetCashFlow10Years). Rent's Capital Value counts as ฿0 (it never</t>
        </is>
      </c>
    </row>
    <row r="101">
      <c r="A101" t="inlineStr">
        <is>
          <t xml:space="preserve">    accumulates), so Rent's Net Cash Flow reduces to exactly negative Total Paid.</t>
        </is>
      </c>
    </row>
    <row r="102"/>
    <row r="103">
      <c r="A103" t="inlineStr">
        <is>
          <t>Two reference spreadsheets already in this project informed parts of this logic and are worth cross-checking too:</t>
        </is>
      </c>
    </row>
    <row r="104">
      <c r="A104" t="inlineStr">
        <is>
          <t xml:space="preserve">  • RTO-Payment.xlsx — the authoritative source for every Rent-to-Own formula (Sheets 8a/8b reproduce it exactly).</t>
        </is>
      </c>
    </row>
    <row r="105">
      <c r="A105" t="inlineStr">
        <is>
          <t xml:space="preserve">  • Home-Ready-Calculation-Audit.xlsx — an earlier audit pass.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Assumptions — CalculationAssumptions (src/types/finance.ts)</t>
        </is>
      </c>
    </row>
    <row r="3" ht="28" customHeight="1">
      <c r="A3" s="4" t="inlineStr">
        <is>
          <t>Every value here feeds every sheet in this workbook by name. Change any cell to see the whole model recompute — exactly what Master Mode does in the live app.</t>
        </is>
      </c>
    </row>
    <row r="5">
      <c r="A5" s="5" t="inlineStr">
        <is>
          <t>Assumption</t>
        </is>
      </c>
      <c r="B5" s="5" t="inlineStr">
        <is>
          <t>Value</t>
        </is>
      </c>
      <c r="C5" s="5" t="inlineStr">
        <is>
          <t>Named cell</t>
        </is>
      </c>
      <c r="D5" s="5" t="inlineStr">
        <is>
          <t>What it means</t>
        </is>
      </c>
    </row>
    <row r="6">
      <c r="A6" s="5" t="inlineStr">
        <is>
          <t>Debt Service Ratio (DSR)</t>
        </is>
      </c>
      <c r="B6" s="6" t="n">
        <v>0.4</v>
      </c>
      <c r="C6" s="7" t="inlineStr">
        <is>
          <t>DSR</t>
        </is>
      </c>
      <c r="D6" s="8" t="inlineStr">
        <is>
          <t>Share of qualifying income a lender counts toward all debt, including the new mortgage.</t>
        </is>
      </c>
    </row>
    <row r="7">
      <c r="A7" s="5" t="inlineStr">
        <is>
          <t>Annual Interest Rate</t>
        </is>
      </c>
      <c r="B7" s="6" t="n">
        <v>0.06</v>
      </c>
      <c r="C7" s="7" t="inlineStr">
        <is>
          <t>AnnualInterestRate</t>
        </is>
      </c>
      <c r="D7" s="8" t="inlineStr">
        <is>
          <t>Mortgage interest rate used to size the Buy loan.</t>
        </is>
      </c>
    </row>
    <row r="8">
      <c r="A8" s="5" t="inlineStr">
        <is>
          <t>Down Payment Rate</t>
        </is>
      </c>
      <c r="B8" s="6" t="n">
        <v>0.1</v>
      </c>
      <c r="C8" s="7" t="inlineStr">
        <is>
          <t>DownPaymentRate</t>
        </is>
      </c>
      <c r="D8" s="8" t="inlineStr">
        <is>
          <t>Minimum down payment as a fraction of home price.</t>
        </is>
      </c>
    </row>
    <row r="9">
      <c r="A9" s="5" t="inlineStr">
        <is>
          <t>Variable Income Weight</t>
        </is>
      </c>
      <c r="B9" s="6" t="n">
        <v>0.5</v>
      </c>
      <c r="C9" s="7" t="inlineStr">
        <is>
          <t>VariableIncomeWeight</t>
        </is>
      </c>
      <c r="D9" s="8" t="inlineStr">
        <is>
          <t>Portion of bonus a lender counts toward DSR-qualifying income.</t>
        </is>
      </c>
    </row>
    <row r="10">
      <c r="A10" s="5" t="inlineStr">
        <is>
          <t>Transaction Cost Rate</t>
        </is>
      </c>
      <c r="B10" s="6" t="n">
        <v>0.02</v>
      </c>
      <c r="C10" s="7" t="inlineStr">
        <is>
          <t>TransactionCostRate</t>
        </is>
      </c>
      <c r="D10" s="8" t="inlineStr">
        <is>
          <t>Transfer + mortgage-registration fees, as a fraction of home price.</t>
        </is>
      </c>
    </row>
    <row r="11">
      <c r="A11" s="5" t="inlineStr">
        <is>
          <t>Rental Yield %</t>
        </is>
      </c>
      <c r="B11" s="6" t="n">
        <v>0.04</v>
      </c>
      <c r="C11" s="7" t="inlineStr">
        <is>
          <t>RentalYieldPct</t>
        </is>
      </c>
      <c r="D11" s="8" t="inlineStr">
        <is>
          <t>Gross rental yield used to estimate market rent from a home price.</t>
        </is>
      </c>
    </row>
    <row r="12">
      <c r="A12" s="5" t="inlineStr">
        <is>
          <t>Safe Budget Multiplier</t>
        </is>
      </c>
      <c r="B12" s="6" t="n">
        <v>0.85</v>
      </c>
      <c r="C12" s="7" t="inlineStr">
        <is>
          <t>SafeBudgetMultiplier</t>
        </is>
      </c>
      <c r="D12" s="8" t="inlineStr">
        <is>
          <t>Safe zone ceiling = this share of Recommended Home Price.</t>
        </is>
      </c>
    </row>
    <row r="13">
      <c r="A13" s="5" t="inlineStr">
        <is>
          <t>Stretch Budget Multiplier</t>
        </is>
      </c>
      <c r="B13" s="6" t="n">
        <v>1</v>
      </c>
      <c r="C13" s="7" t="inlineStr">
        <is>
          <t>StretchBudgetMultiplier</t>
        </is>
      </c>
      <c r="D13" s="8" t="inlineStr">
        <is>
          <t>Stretch zone ceiling = this multiple of Recommended Home Price.</t>
        </is>
      </c>
    </row>
    <row r="14">
      <c r="A14" s="5" t="inlineStr">
        <is>
          <t>Risk Zone Multiplier</t>
        </is>
      </c>
      <c r="B14" s="6" t="n">
        <v>1.06</v>
      </c>
      <c r="C14" s="7" t="inlineStr">
        <is>
          <t>RiskZoneMultiplier</t>
        </is>
      </c>
      <c r="D14" s="8" t="inlineStr">
        <is>
          <t>Above this multiple, a price is flagged meaningfully over budget.</t>
        </is>
      </c>
    </row>
    <row r="15">
      <c r="A15" s="5" t="inlineStr">
        <is>
          <t>RTO Contract Fee Rate</t>
        </is>
      </c>
      <c r="B15" s="6" t="n">
        <v>0.07000000000000001</v>
      </c>
      <c r="C15" s="7" t="inlineStr">
        <is>
          <t>RtoContractFeeRate</t>
        </is>
      </c>
      <c r="D15" s="8" t="inlineStr">
        <is>
          <t>One-time RTO contract fee, as a fraction of home price.</t>
        </is>
      </c>
    </row>
    <row r="16">
      <c r="A16" s="5" t="inlineStr">
        <is>
          <t>RTO Price Markup Rate</t>
        </is>
      </c>
      <c r="B16" s="6" t="n">
        <v>0.06</v>
      </c>
      <c r="C16" s="7" t="inlineStr">
        <is>
          <t>RtoPriceMarkupRate</t>
        </is>
      </c>
      <c r="D16" s="8" t="inlineStr">
        <is>
          <t>Markup the RTO contract price carries over the plain home price.</t>
        </is>
      </c>
    </row>
    <row r="17">
      <c r="A17" s="5" t="inlineStr">
        <is>
          <t>RTO Payment per ฿1,000,000</t>
        </is>
      </c>
      <c r="B17" s="9" t="n">
        <v>6800</v>
      </c>
      <c r="C17" s="7" t="inlineStr">
        <is>
          <t>RtoPaymentPerMillion</t>
        </is>
      </c>
      <c r="D17" s="8" t="inlineStr">
        <is>
          <t>Flat monthly RTO payment per ฿1,000,000 of RTO contract price.</t>
        </is>
      </c>
    </row>
    <row r="18">
      <c r="A18" s="5" t="inlineStr">
        <is>
          <t>RTO Year-1 Imputed Interest Rate</t>
        </is>
      </c>
      <c r="B18" s="6" t="n">
        <v>0.045</v>
      </c>
      <c r="C18" s="7" t="inlineStr">
        <is>
          <t>RtoYear1Rate</t>
        </is>
      </c>
      <c r="D18" s="8" t="inlineStr">
        <is>
          <t>Used to split months 1-12 of the RTO payment into interest/principal.</t>
        </is>
      </c>
    </row>
    <row r="19">
      <c r="A19" s="5" t="inlineStr">
        <is>
          <t>RTO Year-2 Imputed Interest Rate</t>
        </is>
      </c>
      <c r="B19" s="6" t="n">
        <v>0.055</v>
      </c>
      <c r="C19" s="7" t="inlineStr">
        <is>
          <t>RtoYear2Rate</t>
        </is>
      </c>
      <c r="D19" s="8" t="inlineStr">
        <is>
          <t>Used to split months 13-24.</t>
        </is>
      </c>
    </row>
    <row r="20">
      <c r="A20" s="5" t="inlineStr">
        <is>
          <t>RTO Year-3 Imputed Interest Rate</t>
        </is>
      </c>
      <c r="B20" s="6" t="n">
        <v>0.065</v>
      </c>
      <c r="C20" s="7" t="inlineStr">
        <is>
          <t>RtoYear3Rate</t>
        </is>
      </c>
      <c r="D20" s="8" t="inlineStr">
        <is>
          <t>Used to split months 25-36.</t>
        </is>
      </c>
    </row>
    <row r="21">
      <c r="A21" s="5" t="inlineStr">
        <is>
          <t>Buy Loan Tenure (years)</t>
        </is>
      </c>
      <c r="B21" s="10" t="n">
        <v>30</v>
      </c>
      <c r="C21" s="7" t="inlineStr">
        <is>
          <t>BuyLoanTenureYears</t>
        </is>
      </c>
      <c r="D21" s="8" t="inlineStr">
        <is>
          <t>BUY_LOAN_TENURE_YEARS — flat policy assumption, never derived from age.</t>
        </is>
      </c>
    </row>
    <row r="22">
      <c r="A22" s="5" t="inlineStr">
        <is>
          <t>RTO Contract Period (years)</t>
        </is>
      </c>
      <c r="B22" s="10" t="n">
        <v>3</v>
      </c>
      <c r="C22" s="7" t="inlineStr">
        <is>
          <t>RtoPeriodYears</t>
        </is>
      </c>
      <c r="D22" s="8" t="inlineStr">
        <is>
          <t>RTO_PERIOD_YEARS — the RTO sheet's own natural first milestone.</t>
        </is>
      </c>
    </row>
    <row r="23">
      <c r="A23" s="5" t="inlineStr">
        <is>
          <t>Comfortable Remaining-Income Threshold</t>
        </is>
      </c>
      <c r="B23" s="6" t="n">
        <v>0.15</v>
      </c>
      <c r="C23" s="7" t="inlineStr">
        <is>
          <t>ComfortableThreshold</t>
        </is>
      </c>
      <c r="D23" s="8" t="inlineStr">
        <is>
          <t>≥15% of income left over after housing = "Comfortable".</t>
        </is>
      </c>
    </row>
    <row r="24">
      <c r="A24" s="5" t="inlineStr">
        <is>
          <t>Tight Remaining-Income Threshold</t>
        </is>
      </c>
      <c r="B24" s="6" t="n">
        <v>0.05</v>
      </c>
      <c r="C24" s="7" t="inlineStr">
        <is>
          <t>TightThreshold</t>
        </is>
      </c>
      <c r="D24" s="8" t="inlineStr">
        <is>
          <t>≥5% (and &lt;15%) = "Tight"; below 5% = "High Risk".</t>
        </is>
      </c>
    </row>
    <row r="25">
      <c r="A25" s="5" t="inlineStr">
        <is>
          <t>Readiness Weight — Budget Fit</t>
        </is>
      </c>
      <c r="B25" s="6" t="n">
        <v>0.5</v>
      </c>
      <c r="C25" s="7" t="inlineStr">
        <is>
          <t>ReadinessBudgetWeight</t>
        </is>
      </c>
      <c r="D25" s="8" t="inlineStr">
        <is>
          <t>Weight of budgetFit in the Readiness Score composite.</t>
        </is>
      </c>
    </row>
    <row r="26">
      <c r="A26" s="5" t="inlineStr">
        <is>
          <t>Readiness Weight — Down Payment Coverage</t>
        </is>
      </c>
      <c r="B26" s="6" t="n">
        <v>0.35</v>
      </c>
      <c r="C26" s="7" t="inlineStr">
        <is>
          <t>ReadinessCashWeight</t>
        </is>
      </c>
      <c r="D26" s="8" t="inlineStr">
        <is>
          <t>Weight of downPaymentCoverage in the Readiness Score composite (READINESS_DOWN_PAYMENT_WEIGHT in code — named cell kept as ReadinessCashWeight, same value).</t>
        </is>
      </c>
    </row>
    <row r="27">
      <c r="A27" s="5" t="inlineStr">
        <is>
          <t>Readiness Weight — Timeline Fit</t>
        </is>
      </c>
      <c r="B27" s="6" t="n">
        <v>0.15</v>
      </c>
      <c r="C27" s="7" t="inlineStr">
        <is>
          <t>ReadinessTimelineWeight</t>
        </is>
      </c>
      <c r="D27" s="8" t="inlineStr"/>
    </row>
  </sheetData>
  <mergeCells count="24">
    <mergeCell ref="D18:G18"/>
    <mergeCell ref="D9:G9"/>
    <mergeCell ref="D12:G12"/>
    <mergeCell ref="D8:G8"/>
    <mergeCell ref="D25:G25"/>
    <mergeCell ref="D24:G24"/>
    <mergeCell ref="D15:G15"/>
    <mergeCell ref="A3:F3"/>
    <mergeCell ref="D14:G14"/>
    <mergeCell ref="D23:G23"/>
    <mergeCell ref="D26:G26"/>
    <mergeCell ref="D20:G20"/>
    <mergeCell ref="D19:G19"/>
    <mergeCell ref="D10:G10"/>
    <mergeCell ref="D22:G22"/>
    <mergeCell ref="D6:G6"/>
    <mergeCell ref="D21:G21"/>
    <mergeCell ref="D11:G11"/>
    <mergeCell ref="D13:G13"/>
    <mergeCell ref="D27:G27"/>
    <mergeCell ref="D17:G17"/>
    <mergeCell ref="A1:F1"/>
    <mergeCell ref="D16:G16"/>
    <mergeCell ref="D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60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Inputs — QuestionnaireAnswers (src/lib/defaults.ts DEFAULT_ANSWERS)</t>
        </is>
      </c>
    </row>
    <row r="3" ht="28" customHeight="1">
      <c r="A3" s="4" t="inlineStr">
        <is>
          <t>Pre-filled with the app's own DEFAULT_ANSWERS. Edit these to match any real scenario you want to check against the live app / Master Mode.</t>
        </is>
      </c>
    </row>
    <row r="5">
      <c r="A5" s="5" t="inlineStr">
        <is>
          <t>Input</t>
        </is>
      </c>
      <c r="B5" s="5" t="inlineStr">
        <is>
          <t>Value</t>
        </is>
      </c>
      <c r="C5" s="5" t="inlineStr">
        <is>
          <t>Named cell</t>
        </is>
      </c>
      <c r="D5" s="5" t="inlineStr">
        <is>
          <t>Note</t>
        </is>
      </c>
    </row>
    <row r="6">
      <c r="A6" s="5" t="inlineStr">
        <is>
          <t>Primary income (monthly)</t>
        </is>
      </c>
      <c r="B6" s="11" t="n">
        <v>35000</v>
      </c>
      <c r="C6" s="7" t="inlineStr">
        <is>
          <t>PrimaryIncomeMonthly</t>
        </is>
      </c>
    </row>
    <row r="7">
      <c r="A7" s="5" t="inlineStr">
        <is>
          <t>Additional income (monthly)</t>
        </is>
      </c>
      <c r="B7" s="11" t="n">
        <v>0</v>
      </c>
      <c r="C7" s="7" t="inlineStr">
        <is>
          <t>AdditionalIncomeMonthly</t>
        </is>
      </c>
    </row>
    <row r="8">
      <c r="A8" s="5" t="inlineStr">
        <is>
          <t>Annual bonus</t>
        </is>
      </c>
      <c r="B8" s="11" t="n">
        <v>0</v>
      </c>
      <c r="C8" s="7" t="inlineStr">
        <is>
          <t>BonusAnnual</t>
        </is>
      </c>
    </row>
    <row r="9">
      <c r="A9" s="5" t="inlineStr">
        <is>
          <t>Existing home loan payment (monthly)</t>
        </is>
      </c>
      <c r="B9" s="11" t="n">
        <v>0</v>
      </c>
      <c r="C9" s="7" t="inlineStr">
        <is>
          <t>HomeLoanMonthly</t>
        </is>
      </c>
    </row>
    <row r="10">
      <c r="A10" s="5" t="inlineStr">
        <is>
          <t>Other loan payments (monthly)</t>
        </is>
      </c>
      <c r="B10" s="11" t="n">
        <v>3000</v>
      </c>
      <c r="C10" s="7" t="inlineStr">
        <is>
          <t>OtherDebtMonthly</t>
        </is>
      </c>
    </row>
    <row r="11">
      <c r="A11" s="5" t="inlineStr">
        <is>
          <t>Monthly living expenses</t>
        </is>
      </c>
      <c r="B11" s="11" t="n">
        <v>12000</v>
      </c>
      <c r="C11" s="7" t="inlineStr">
        <is>
          <t>MonthlyLivingExpenses</t>
        </is>
      </c>
    </row>
    <row r="12">
      <c r="A12" s="5" t="inlineStr">
        <is>
          <t>Annual lump-sum expenses</t>
        </is>
      </c>
      <c r="B12" s="11" t="n">
        <v>20000</v>
      </c>
      <c r="C12" s="7" t="inlineStr">
        <is>
          <t>AnnualLumpSumExpenses</t>
        </is>
      </c>
    </row>
    <row r="13">
      <c r="A13" s="5" t="inlineStr">
        <is>
          <t>Currently renting? (1 = yes, 0 = no)</t>
        </is>
      </c>
      <c r="B13" s="10" t="n">
        <v>1</v>
      </c>
      <c r="C13" s="7" t="inlineStr">
        <is>
          <t>IsRenting</t>
        </is>
      </c>
    </row>
    <row r="14">
      <c r="A14" s="5" t="inlineStr">
        <is>
          <t>Monthly rent</t>
        </is>
      </c>
      <c r="B14" s="11" t="n">
        <v>8000</v>
      </c>
      <c r="C14" s="7" t="inlineStr">
        <is>
          <t>MonthlyRent</t>
        </is>
      </c>
    </row>
    <row r="15">
      <c r="A15" s="5" t="inlineStr">
        <is>
          <t>Total current savings</t>
        </is>
      </c>
      <c r="B15" s="11" t="n">
        <v>150000</v>
      </c>
      <c r="C15" s="7" t="inlineStr">
        <is>
          <t>TotalSavings</t>
        </is>
      </c>
    </row>
    <row r="16">
      <c r="A16" s="5" t="inlineStr">
        <is>
          <t>Available for a down payment</t>
        </is>
      </c>
      <c r="B16" s="11" t="n">
        <v>100000</v>
      </c>
      <c r="C16" s="7" t="inlineStr">
        <is>
          <t>AvailableDownPayment</t>
        </is>
      </c>
    </row>
    <row r="17">
      <c r="A17" s="5" t="inlineStr">
        <is>
          <t>Max comfortable installment (0 = no cap)</t>
        </is>
      </c>
      <c r="B17" s="11" t="n">
        <v>0</v>
      </c>
      <c r="C17" s="7" t="inlineStr">
        <is>
          <t>MaxComfortableInstallment</t>
        </is>
      </c>
      <c r="D17" s="27" t="inlineStr">
        <is>
          <t>Not a form field — the form always writes 0 here (DEFAULT_ANSWERS), which calculateInstallmentCeilings' &gt;0 guard treats as 'no comfort cap.' Edit this cell only to hypothetically test what a comfort cap would do.</t>
        </is>
      </c>
    </row>
    <row r="18">
      <c r="A18" s="5" t="inlineStr">
        <is>
          <t>Your Target Home Price</t>
        </is>
      </c>
      <c r="B18" s="11" t="n">
        <v>3000000</v>
      </c>
      <c r="C18" s="7" t="inlineStr">
        <is>
          <t>TargetHomePrice</t>
        </is>
      </c>
    </row>
    <row r="19">
      <c r="A19" s="5" t="inlineStr">
        <is>
          <t>Timeline to buy (months)</t>
        </is>
      </c>
      <c r="B19" s="10" t="n">
        <v>24</v>
      </c>
      <c r="C19" s="7" t="inlineStr">
        <is>
          <t>TargetTimelineMonths</t>
        </is>
      </c>
    </row>
    <row r="20">
      <c r="A20" s="5" t="inlineStr">
        <is>
          <t>Expected annual capital growth</t>
        </is>
      </c>
      <c r="B20" s="6" t="n">
        <v>0.04</v>
      </c>
      <c r="C20" s="7" t="inlineStr">
        <is>
          <t>ExpectedAppreciationPct</t>
        </is>
      </c>
      <c r="D20" s="27" t="inlineStr">
        <is>
          <t>Not a form field, and not exposed in Master Mode either — held at a fixed system default (4%). Edit this cell only to hypothetically test a different capital-growth assumption.</t>
        </is>
      </c>
    </row>
    <row r="21">
      <c r="A21" s="5" t="inlineStr">
        <is>
          <t>Co-borrower income (monthly)</t>
        </is>
      </c>
      <c r="B21" t="n">
        <v>0</v>
      </c>
      <c r="C21" t="inlineStr">
        <is>
          <t>CoBorrowerIncomeMonthly</t>
        </is>
      </c>
      <c r="D21" s="27" t="inlineStr">
        <is>
          <t>Optional. Counted at full weight in Steady Monthly Income — same treatment as Primary/Additional income, never discounted by Variable Income Weight (that discount is for bonus only).</t>
        </is>
      </c>
    </row>
    <row r="22" ht="28" customHeight="1">
      <c r="A22" s="31" t="inlineStr">
        <is>
          <t>Co-borrower debt (monthly)</t>
        </is>
      </c>
      <c r="B22" t="n">
        <v>0</v>
      </c>
      <c r="C22" t="inlineStr">
        <is>
          <t>CoBorrowerDebtMonthly</t>
        </is>
      </c>
      <c r="D22" s="27" t="inlineStr">
        <is>
          <t>Optional. Added to Total Monthly Debt alongside co-borrower income — without this, counting a co-borrower's income but not their debt would overstate affordability.</t>
        </is>
      </c>
    </row>
    <row r="24">
      <c r="A24" t="inlineStr">
        <is>
          <t>"Your Target Home Price" is DEFAULT_ANSWERS' own starting value (฿3,000,000) — change it freely to test the Gap &amp; Plan / Target-basis sheets at any price.</t>
        </is>
      </c>
    </row>
  </sheetData>
  <mergeCells count="3">
    <mergeCell ref="A3:F3"/>
    <mergeCell ref="A1:F1"/>
    <mergeCell ref="A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Income &amp; Expenses — calculateIncomeProfile / resolveExpenseProfile</t>
        </is>
      </c>
    </row>
    <row r="4">
      <c r="A4" s="5" t="inlineStr">
        <is>
          <t>Steady Monthly Income</t>
        </is>
      </c>
      <c r="B4" s="12">
        <f>PrimaryIncomeMonthly+AdditionalIncomeMonthly+CoBorrowerIncomeMonthly</f>
        <v/>
      </c>
      <c r="C4" s="8" t="inlineStr">
        <is>
          <t>Primary + additional + co-borrower — excludes bonus, even averaged. Co-borrower income is included at the same full weight as the applicant's own (see Sheet 2 note).</t>
        </is>
      </c>
    </row>
    <row r="5">
      <c r="A5" s="5" t="inlineStr">
        <is>
          <t>Variable Monthly Income</t>
        </is>
      </c>
      <c r="B5" s="12">
        <f>BonusAnnual/12</f>
        <v/>
      </c>
    </row>
    <row r="6">
      <c r="A6" s="5" t="inlineStr">
        <is>
          <t>Gross Monthly Income</t>
        </is>
      </c>
      <c r="B6" s="12">
        <f>SteadyMonthlyIncome+VariableMonthlyIncome</f>
        <v/>
      </c>
      <c r="C6" s="8" t="inlineStr">
        <is>
          <t>Used for DSR/Budget affordability ceilings — NOT for Remaining Monthly Income (see Sheet 8).</t>
        </is>
      </c>
    </row>
    <row r="7">
      <c r="A7" s="5" t="inlineStr">
        <is>
          <t>Bank-Qualifying Monthly Income</t>
        </is>
      </c>
      <c r="B7" s="12">
        <f>SteadyMonthlyIncome+VariableMonthlyIncome*VariableIncomeWeight</f>
        <v/>
      </c>
      <c r="C7" s="8" t="inlineStr">
        <is>
          <t>Bonus counted at a discount — banks don't treat it as guaranteed.</t>
        </is>
      </c>
    </row>
    <row r="8">
      <c r="A8" s="5" t="inlineStr">
        <is>
          <t>Total Monthly Debt</t>
        </is>
      </c>
      <c r="B8" s="12">
        <f>HomeLoanMonthly+OtherDebtMonthly+CoBorrowerDebtMonthly</f>
        <v/>
      </c>
      <c r="C8" t="inlineStr">
        <is>
          <t>Applicant's own debt + co-borrower's own debt, kept symmetric with row 4.</t>
        </is>
      </c>
    </row>
    <row r="10">
      <c r="A10" s="5" t="inlineStr">
        <is>
          <t>Effective Monthly Rent (0 if not renting)</t>
        </is>
      </c>
      <c r="B10" s="12">
        <f>IF(IsRenting=1,MonthlyRent,0)</f>
        <v/>
      </c>
    </row>
    <row r="11">
      <c r="A11" s="5" t="inlineStr">
        <is>
          <t>Monthly Lump-Sum Equivalent</t>
        </is>
      </c>
      <c r="B11" s="12">
        <f>AnnualLumpSumExpenses/12</f>
        <v/>
      </c>
    </row>
    <row r="12">
      <c r="A12" s="5" t="inlineStr">
        <is>
          <t>Monthly Cash Flow Before Housing</t>
        </is>
      </c>
      <c r="B12" s="12">
        <f>GrossMonthlyIncome-TotalMonthlyDebt-MonthlyLivingExpenses-MonthlyLumpSumEquivalent-EffMonthlyRent</f>
        <v/>
      </c>
      <c r="C12" s="8" t="inlineStr">
        <is>
          <t>Can go negative — that's the Advisory Notice trigger (Sheet 14), never clamped here.</t>
        </is>
      </c>
    </row>
    <row r="13">
      <c r="A13" s="5" t="inlineStr">
        <is>
          <t>Monthly Saving Capacity</t>
        </is>
      </c>
      <c r="B13" s="12">
        <f>MAX(0,MonthlyCashFlowBeforeHousing)</f>
        <v/>
      </c>
    </row>
    <row r="15">
      <c r="A15" s="5" t="inlineStr">
        <is>
          <t>Income After Other Obligations</t>
        </is>
      </c>
      <c r="B15" s="12">
        <f>SteadyMonthlyIncome-TotalMonthlyDebt-MonthlyLivingExpenses-MonthlyLumpSumEquivalent</f>
        <v/>
      </c>
      <c r="C15" s="8" t="inlineStr">
        <is>
          <t>steadyMonthlyIncome minus debt/living/lump-sum — the baseline every scenario's Remaining Monthly Income (Sheet 8) subtracts its own housing payment from.</t>
        </is>
      </c>
    </row>
  </sheetData>
  <mergeCells count="6">
    <mergeCell ref="C7:G7"/>
    <mergeCell ref="C4:G4"/>
    <mergeCell ref="C12:G12"/>
    <mergeCell ref="C6:G6"/>
    <mergeCell ref="A1:F1"/>
    <mergeCell ref="C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Purchasing Power — calculatePurchasingPower / calculateInstallmentCeilings</t>
        </is>
      </c>
    </row>
    <row r="4">
      <c r="A4" s="5" t="inlineStr">
        <is>
          <t>Affordable by DSR</t>
        </is>
      </c>
      <c r="B4" s="12">
        <f>MAX(0,BankQualifyingMonthlyIncome*DSR-TotalMonthlyDebt)</f>
        <v/>
      </c>
    </row>
    <row r="5">
      <c r="A5" s="5" t="inlineStr">
        <is>
          <t>Affordable by Budget</t>
        </is>
      </c>
      <c r="B5" s="12">
        <f>MAX(0,GrossMonthlyIncome-TotalMonthlyDebt-MonthlyLivingExpenses-MonthlyLumpSumEquivalent)</f>
        <v/>
      </c>
      <c r="C5" s="8" t="inlineStr">
        <is>
          <t>Rent excluded — it's replaced by the mortgage payment once bought, not stacked on top.</t>
        </is>
      </c>
    </row>
    <row r="6">
      <c r="A6" s="5" t="inlineStr">
        <is>
          <t>Recommended Installment (before comfort cap)</t>
        </is>
      </c>
      <c r="B6" s="12">
        <f>MIN(AffordableByDSR,AffordableByBudget)</f>
        <v/>
      </c>
    </row>
    <row r="7">
      <c r="A7" s="5" t="inlineStr">
        <is>
          <t>Binding Ceiling (before comfort cap)</t>
        </is>
      </c>
      <c r="B7" s="13">
        <f>IF(AffordableByDSR&lt;=AffordableByBudget,"dsr","budget")</f>
        <v/>
      </c>
    </row>
    <row r="8">
      <c r="A8" s="5" t="inlineStr">
        <is>
          <t>Recommended Monthly Installment</t>
        </is>
      </c>
      <c r="B8" s="12">
        <f>IF(AND(MaxComfortableInstallment&gt;0,MaxComfortableInstallment&lt;RecommendedPreComfort),MaxComfortableInstallment,RecommendedPreComfort)</f>
        <v/>
      </c>
    </row>
    <row r="9">
      <c r="A9" s="5" t="inlineStr">
        <is>
          <t>Binding Installment Ceiling</t>
        </is>
      </c>
      <c r="B9" s="13">
        <f>IF(AND(MaxComfortableInstallment&gt;0,MaxComfortableInstallment&lt;RecommendedPreComfort),"comfort",BindingPreComfort)</f>
        <v/>
      </c>
    </row>
    <row r="11">
      <c r="A11" s="5" t="inlineStr">
        <is>
          <t>Monthly Rate (Buy)</t>
        </is>
      </c>
      <c r="B11" s="14">
        <f>AnnualInterestRate/12</f>
        <v/>
      </c>
    </row>
    <row r="12">
      <c r="A12" s="5" t="inlineStr">
        <is>
          <t># Payments (Buy, 30yr)</t>
        </is>
      </c>
      <c r="B12" s="15">
        <f>BuyLoanTenureYears*12</f>
        <v/>
      </c>
    </row>
    <row r="13">
      <c r="A13" s="5" t="inlineStr">
        <is>
          <t>Loan Factor (Buy)</t>
        </is>
      </c>
      <c r="B13" s="16">
        <f>IF(BuyNumPayments&lt;=0,0,IF(BuyMonthlyRate=0,BuyNumPayments,(1-(1+BuyMonthlyRate)^-BuyNumPayments)/BuyMonthlyRate))</f>
        <v/>
      </c>
      <c r="C13" s="8" t="inlineStr">
        <is>
          <t>loanFactor(): standard annuity present-value factor.</t>
        </is>
      </c>
    </row>
    <row r="14">
      <c r="A14" s="5" t="inlineStr">
        <is>
          <t>Loan Capacity</t>
        </is>
      </c>
      <c r="B14" s="12">
        <f>RecommendedMonthlyInstallment*BuyLoanFactor</f>
        <v/>
      </c>
    </row>
    <row r="15">
      <c r="A15" s="5" t="inlineStr">
        <is>
          <t>Recommended Home Price (Max Home Price)</t>
        </is>
      </c>
      <c r="B15" s="12">
        <f>IF(DownPaymentRate&lt;1,LoanCapacity/(1-DownPaymentRate),0)</f>
        <v/>
      </c>
      <c r="C15" s="29" t="inlineStr">
        <is>
          <t>The home price supported by borrowing/repayment capacity alone, assuming the minimum required down payment. Deliberately does NOT include AvailableDownPayment — today's cash doesn't raise or lower this ceiling; see Sheet 4a/4b for the separate cash-readiness question. (Was LoanCapacity+AvailableDownPayment — changed so extra cash can't silently raise this affordability ceiling.)</t>
        </is>
      </c>
    </row>
    <row r="16">
      <c r="A16" s="5" t="inlineStr">
        <is>
          <t>Estimated Loan Amount</t>
        </is>
      </c>
      <c r="B16" s="12">
        <f>MAX(0,MaxHomePrice-AvailableDownPayment)</f>
        <v/>
      </c>
      <c r="C16" s="27" t="inlineStr">
        <is>
          <t>Loan needed at Max Home Price using REAL AvailableDownPayment (not the assumed minimum Max Home Price itself assumes) — can now exceed Loan Capacity when available cash is thinner than the minimum this price implies (MaxHomePrice*DownPaymentRate). Not a bug — the same shortfall the Down Payment Gap (Sheet 4a/4b) surfaces separately. Not shown in the app UI.</t>
        </is>
      </c>
    </row>
    <row r="18">
      <c r="A18" s="5" t="inlineStr">
        <is>
          <t>Safe Budget (zone bar, green)</t>
        </is>
      </c>
      <c r="B18" s="12">
        <f>MaxHomePrice*SafeBudgetMultiplier</f>
        <v/>
      </c>
    </row>
    <row r="19">
      <c r="A19" s="5" t="inlineStr">
        <is>
          <t>Stretch Budget (zone bar, amber)</t>
        </is>
      </c>
      <c r="B19" s="12">
        <f>MaxHomePrice*StretchBudgetMultiplier</f>
        <v/>
      </c>
    </row>
    <row r="20">
      <c r="A20" s="5" t="inlineStr">
        <is>
          <t>Risk Zone Threshold (zone bar, red)</t>
        </is>
      </c>
      <c r="B20" s="12">
        <f>MaxHomePrice*RiskZoneMultiplier</f>
        <v/>
      </c>
    </row>
    <row r="21">
      <c r="A21" s="23" t="inlineStr">
        <is>
          <t>Buy's displayed “Home price gap” / “Close the home price gap” / Additional Option logic now lives in Sheet 4a/4b (“Home Price Gap &amp; Plan”) — shared verbatim with RTO via calculateBuyGapNarrative. See those sheets.</t>
        </is>
      </c>
    </row>
  </sheetData>
  <mergeCells count="5">
    <mergeCell ref="A21:G21"/>
    <mergeCell ref="A1:F1"/>
    <mergeCell ref="C15:G15"/>
    <mergeCell ref="C5:G5"/>
    <mergeCell ref="C13:G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4" t="inlineStr">
        <is>
          <t>Home Price Gap &amp; Plan (shared: Buy + RTO) — calculateBuyGapNarrative, basis = Recommended Home Price</t>
        </is>
      </c>
    </row>
    <row r="3">
      <c r="A3" s="23" t="inlineStr">
        <is>
          <t>Buy and RTO share ONE financial-eligibility ceiling — this sheet is the literal source for Buy's ‘Home price gap’ / ‘Close the home price gap’ rows AND RTO's identical rows in the app (BuyContent and RtoContent in GapAndPlan.tsx both call this exact function with this exact basis). In the app a GAP row is hidden whenever its amount is ฿0.</t>
        </is>
      </c>
    </row>
    <row r="5">
      <c r="A5" s="17" t="inlineStr">
        <is>
          <t>THE GAP</t>
        </is>
      </c>
    </row>
    <row r="6">
      <c r="A6" s="5" t="inlineStr">
        <is>
          <t>Home Price Basis</t>
        </is>
      </c>
      <c r="B6" s="26">
        <f>MaxHomePrice</f>
        <v/>
      </c>
    </row>
    <row r="7">
      <c r="A7" s="5" t="inlineStr">
        <is>
          <t>Price Gap</t>
        </is>
      </c>
      <c r="B7" s="26">
        <f>MAX(0,HpgBasis_Rec-MaxHomePrice)</f>
        <v/>
      </c>
    </row>
    <row r="8">
      <c r="A8" s="5" t="inlineStr">
        <is>
          <t>Is Price Gap Closed</t>
        </is>
      </c>
      <c r="B8">
        <f>HpgPriceGap_Rec=0</f>
        <v/>
      </c>
    </row>
    <row r="9">
      <c r="A9" s="5" t="inlineStr">
        <is>
          <t>Required Down Payment (at this basis)</t>
        </is>
      </c>
      <c r="B9" s="26">
        <f>HpgBasis_Rec*DownPaymentRate</f>
        <v/>
      </c>
    </row>
    <row r="10">
      <c r="A10" s="5" t="inlineStr">
        <is>
          <t>Remaining Down Payment</t>
        </is>
      </c>
      <c r="B10" s="26">
        <f>MAX(0,HpgRequiredDownPayment_Rec-AvailableDownPayment)</f>
        <v/>
      </c>
      <c r="C10" s="27" t="inlineStr">
        <is>
          <t>This is Buy's ‘Down payment gap’ GAP row.</t>
        </is>
      </c>
    </row>
    <row r="11">
      <c r="A11" s="5" t="inlineStr">
        <is>
          <t>Transaction Cost Estimate</t>
        </is>
      </c>
      <c r="B11" s="26">
        <f>HpgBasis_Rec*TransactionCostRate</f>
        <v/>
      </c>
      <c r="C11" s="27" t="inlineStr">
        <is>
          <t>Buy's ‘Transaction fees’ GAP row — always shown, never hidden at ฿0 (a cost to prepare for, not a shortfall).</t>
        </is>
      </c>
    </row>
    <row r="13">
      <c r="A13" s="17" t="inlineStr">
        <is>
          <t>THE PLAN</t>
        </is>
      </c>
    </row>
    <row r="14">
      <c r="A14" s="5" t="inlineStr">
        <is>
          <t>Additional Monthly Installment Needed</t>
        </is>
      </c>
      <c r="B14" s="26">
        <f>IF(BuyLoanFactor&gt;0,HpgPriceGap_Rec*(1-DownPaymentRate)/BuyLoanFactor,0)</f>
        <v/>
      </c>
      <c r="C14" s="27" t="inlineStr">
        <is>
          <t>Accounts for Max Home Price's LoanCapacity/(1-DownPaymentRate) construction: each ฿1 of extra loan capacity raises Max Home Price by 1/(1-DownPaymentRate), so closing Price Gap needs only PriceGap*(1-DownPaymentRate) of extra capacity, not PriceGap itself. This is now the ONLY lever — extra down payment cash no longer closes Price Gap at all (Max Home Price doesn't respond to it).</t>
        </is>
      </c>
    </row>
    <row r="15">
      <c r="A15" s="5" t="inlineStr">
        <is>
          <t>Required Monthly Installment for Target</t>
        </is>
      </c>
      <c r="B15" s="26">
        <f>RecommendedMonthlyInstallment+HpgAdditionalInstallment_Rec</f>
        <v/>
      </c>
      <c r="C15" s="27" t="inlineStr">
        <is>
          <t>‘Close the home price gap’ PLAN row action text uses these two cells.</t>
        </is>
      </c>
    </row>
    <row r="17">
      <c r="A17" s="17" t="inlineStr">
        <is>
          <t>ADDITIONAL OPTION (identical wording for Buy and RTO)</t>
        </is>
      </c>
    </row>
    <row r="18">
      <c r="A18" s="5" t="inlineStr">
        <is>
          <t>Downsize Suggestion</t>
        </is>
      </c>
      <c r="B18">
        <f>IF(HpgBasis_Rec&gt;RiskZoneThreshold,"over-risk-budget",IF(HpgBasis_Rec&gt;StretchBudget,"stretch-zone","none"))</f>
        <v/>
      </c>
    </row>
    <row r="19">
      <c r="A19" s="5" t="inlineStr">
        <is>
          <t>Amount over Stretch Budget (if over-risk-budget)</t>
        </is>
      </c>
      <c r="B19" s="26">
        <f>MAX(0,HpgBasis_Rec-StretchBudget)</f>
        <v/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4" t="inlineStr">
        <is>
          <t>Home Price Gap &amp; Plan (shared: Buy + RTO) — calculateBuyGapNarrative, basis = Target Home Price</t>
        </is>
      </c>
    </row>
    <row r="3">
      <c r="A3" s="23" t="inlineStr">
        <is>
          <t>Buy and RTO share ONE financial-eligibility ceiling — this sheet is the literal source for Buy's ‘Home price gap’ / ‘Close the home price gap’ rows AND RTO's identical rows in the app (BuyContent and RtoContent in GapAndPlan.tsx both call this exact function with this exact basis). In the app a GAP row is hidden whenever its amount is ฿0.</t>
        </is>
      </c>
    </row>
    <row r="5">
      <c r="A5" s="17" t="inlineStr">
        <is>
          <t>THE GAP</t>
        </is>
      </c>
    </row>
    <row r="6">
      <c r="A6" s="5" t="inlineStr">
        <is>
          <t>Home Price Basis</t>
        </is>
      </c>
      <c r="B6" s="26">
        <f>TargetHomePrice</f>
        <v/>
      </c>
    </row>
    <row r="7">
      <c r="A7" s="5" t="inlineStr">
        <is>
          <t>Price Gap</t>
        </is>
      </c>
      <c r="B7" s="26">
        <f>MAX(0,HpgBasis_Tgt-MaxHomePrice)</f>
        <v/>
      </c>
    </row>
    <row r="8">
      <c r="A8" s="5" t="inlineStr">
        <is>
          <t>Is Price Gap Closed</t>
        </is>
      </c>
      <c r="B8">
        <f>HpgPriceGap_Tgt=0</f>
        <v/>
      </c>
    </row>
    <row r="9">
      <c r="A9" s="5" t="inlineStr">
        <is>
          <t>Required Down Payment (at this basis)</t>
        </is>
      </c>
      <c r="B9" s="26">
        <f>HpgBasis_Tgt*DownPaymentRate</f>
        <v/>
      </c>
    </row>
    <row r="10">
      <c r="A10" s="5" t="inlineStr">
        <is>
          <t>Remaining Down Payment</t>
        </is>
      </c>
      <c r="B10" s="26">
        <f>MAX(0,HpgRequiredDownPayment_Tgt-AvailableDownPayment)</f>
        <v/>
      </c>
      <c r="C10" s="27" t="inlineStr">
        <is>
          <t>This is Buy's ‘Down payment gap’ GAP row.</t>
        </is>
      </c>
    </row>
    <row r="11">
      <c r="A11" s="5" t="inlineStr">
        <is>
          <t>Transaction Cost Estimate</t>
        </is>
      </c>
      <c r="B11" s="26">
        <f>HpgBasis_Tgt*TransactionCostRate</f>
        <v/>
      </c>
      <c r="C11" s="27" t="inlineStr">
        <is>
          <t>Buy's ‘Transaction fees’ GAP row — always shown, never hidden at ฿0 (a cost to prepare for, not a shortfall).</t>
        </is>
      </c>
    </row>
    <row r="13">
      <c r="A13" s="17" t="inlineStr">
        <is>
          <t>THE PLAN</t>
        </is>
      </c>
    </row>
    <row r="14">
      <c r="A14" s="5" t="inlineStr">
        <is>
          <t>Additional Monthly Installment Needed</t>
        </is>
      </c>
      <c r="B14" s="26">
        <f>IF(BuyLoanFactor&gt;0,HpgPriceGap_Tgt*(1-DownPaymentRate)/BuyLoanFactor,0)</f>
        <v/>
      </c>
      <c r="C14" s="27" t="inlineStr">
        <is>
          <t>Accounts for Max Home Price's LoanCapacity/(1-DownPaymentRate) construction: each ฿1 of extra loan capacity raises Max Home Price by 1/(1-DownPaymentRate), so closing Price Gap needs only PriceGap*(1-DownPaymentRate) of extra capacity, not PriceGap itself. This is now the ONLY lever — extra down payment cash no longer closes Price Gap at all (Max Home Price doesn't respond to it).</t>
        </is>
      </c>
    </row>
    <row r="15">
      <c r="A15" s="5" t="inlineStr">
        <is>
          <t>Required Monthly Installment for Target</t>
        </is>
      </c>
      <c r="B15" s="26">
        <f>RecommendedMonthlyInstallment+HpgAdditionalInstallment_Tgt</f>
        <v/>
      </c>
      <c r="C15" s="27" t="inlineStr">
        <is>
          <t>‘Close the home price gap’ PLAN row action text uses these two cells.</t>
        </is>
      </c>
    </row>
    <row r="17">
      <c r="A17" s="17" t="inlineStr">
        <is>
          <t>ADDITIONAL OPTION (identical wording for Buy and RTO)</t>
        </is>
      </c>
    </row>
    <row r="18">
      <c r="A18" s="5" t="inlineStr">
        <is>
          <t>Downsize Suggestion</t>
        </is>
      </c>
      <c r="B18">
        <f>IF(HpgBasis_Tgt&gt;RiskZoneThreshold,"over-risk-budget",IF(HpgBasis_Tgt&gt;StretchBudget,"stretch-zone","none"))</f>
        <v/>
      </c>
    </row>
    <row r="19">
      <c r="A19" s="5" t="inlineStr">
        <is>
          <t>Amount over Stretch Budget (if over-risk-budget)</t>
        </is>
      </c>
      <c r="B19" s="26">
        <f>MAX(0,HpgBasis_Tgt-StretchBudget)</f>
        <v/>
      </c>
    </row>
  </sheetData>
  <mergeCells count="2">
    <mergeCell ref="A3:G3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28" t="inlineStr">
        <is>
          <t>Action Plan — calculateActionPlan (down-payment-only savings timeline, at Target Home Price)</t>
        </is>
      </c>
    </row>
    <row r="4">
      <c r="A4" s="5" t="inlineStr">
        <is>
          <t>Required Down Payment</t>
        </is>
      </c>
      <c r="B4" s="12">
        <f>TargetHomePrice*DownPaymentRate</f>
        <v/>
      </c>
      <c r="C4" s="29" t="inlineStr">
        <is>
          <t>Down payment only — NOT full cash-at-closing.</t>
        </is>
      </c>
    </row>
    <row r="5">
      <c r="A5" s="5" t="inlineStr">
        <is>
          <t>Remaining Down Payment</t>
        </is>
      </c>
      <c r="B5" s="12">
        <f>MAX(0,RequiredDownPayment-AvailableDownPayment)</f>
        <v/>
      </c>
    </row>
    <row r="6">
      <c r="A6" s="5" t="inlineStr">
        <is>
          <t>Is Down Payment Ready</t>
        </is>
      </c>
      <c r="B6" s="13">
        <f>RemainingDownPayment=0</f>
        <v/>
      </c>
    </row>
    <row r="7">
      <c r="A7" s="5" t="inlineStr">
        <is>
          <t>Transaction Cost Estimate</t>
        </is>
      </c>
      <c r="B7" s="12">
        <f>TargetHomePrice*TransactionCostRate</f>
        <v/>
      </c>
      <c r="C7" s="27" t="inlineStr">
        <is>
          <t>Shown separately in The Gap &amp; The Plan — never subtracted from Required/Remaining Down Payment above, never feeds Readiness.</t>
        </is>
      </c>
    </row>
    <row r="8">
      <c r="A8" s="5" t="n"/>
      <c r="B8" s="13" t="n"/>
    </row>
    <row r="9">
      <c r="A9" s="5" t="inlineStr">
        <is>
          <t>Months to Ready</t>
        </is>
      </c>
      <c r="B9" s="13">
        <f>IF(IsDownPaymentReady,0,IF(MonthlySavingCapacity&gt;0,CEILING(RemainingDownPayment/MonthlySavingCapacity,1),"N/A (saving $0/mo)"))</f>
        <v/>
      </c>
    </row>
    <row r="10">
      <c r="A10" s="5" t="inlineStr">
        <is>
          <t>Years to Ready</t>
        </is>
      </c>
      <c r="B10" s="13">
        <f>IF(ISNUMBER(MonthsToReady),ROUND(MonthsToReady/12,1),"N/A")</f>
        <v/>
      </c>
    </row>
    <row r="11">
      <c r="A11" s="5" t="inlineStr">
        <is>
          <t>Is On Target Timeline</t>
        </is>
      </c>
      <c r="B11" s="12">
        <f>IF(ISNUMBER(MonthsToReady),MonthsToReady&lt;=TargetTimelineMonths,"N/A")</f>
        <v/>
      </c>
    </row>
    <row r="12">
      <c r="A12" s="5" t="inlineStr">
        <is>
          <t>Shortfall Months (if behind schedule)</t>
        </is>
      </c>
      <c r="B12" s="12">
        <f>IF(AND(ISNUMBER(MonthsToReady),MonthsToReady&gt;TargetTimelineMonths),MonthsToReady-TargetTimelineMonths,"-")</f>
        <v/>
      </c>
    </row>
    <row r="13">
      <c r="A13" s="5" t="inlineStr">
        <is>
          <t>Required Monthly Saving for Target Timeline</t>
        </is>
      </c>
      <c r="B13" s="26">
        <f>CEILING(RemainingDownPayment/TargetTimelineMonths,1)</f>
        <v/>
      </c>
    </row>
    <row r="14">
      <c r="A14" s="5" t="inlineStr">
        <is>
          <t>Suggested Monthly Savings Increase</t>
        </is>
      </c>
      <c r="B14" s="26">
        <f>MAX(0,RequiredMonthlySavingForTarget-MonthlySavingCapacity)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Readiness Score — calculateReadiness</t>
        </is>
      </c>
    </row>
    <row r="4">
      <c r="A4" s="5" t="inlineStr">
        <is>
          <t>Down Payment Coverage %</t>
        </is>
      </c>
      <c r="B4" s="18">
        <f>IF(RequiredDownPayment&gt;0,MIN(100,MAX(0,AvailableDownPayment/RequiredDownPayment*100)),100)</f>
        <v/>
      </c>
      <c r="C4" s="27" t="inlineStr">
        <is>
          <t>calculateReadiness(): down-payment-only — Transaction Cost Estimate never dilutes this score.</t>
        </is>
      </c>
    </row>
    <row r="5">
      <c r="A5" s="5" t="inlineStr">
        <is>
          <t>Budget Fit %</t>
        </is>
      </c>
      <c r="B5" s="18">
        <f>IF(TargetHomePrice&gt;0,MIN(100,MAX(0,MaxHomePrice/TargetHomePrice*100)),100)</f>
        <v/>
      </c>
    </row>
    <row r="6">
      <c r="A6" s="5" t="inlineStr">
        <is>
          <t>Timeline Fit %</t>
        </is>
      </c>
      <c r="B6" s="18">
        <f>IF(MonthsToReady=0,100,IF(OR(NOT(ISNUMBER(MonthsToReady)),TargetTimelineMonths&lt;=0),0,MIN(100,MAX(0,TargetTimelineMonths/MonthsToReady*100))))</f>
        <v/>
      </c>
    </row>
    <row r="8">
      <c r="A8" s="5" t="inlineStr">
        <is>
          <t>Readiness % (weighted composite)</t>
        </is>
      </c>
      <c r="B8" s="19">
        <f>ROUND(ReadinessBudgetWeight*BudgetFit+ReadinessCashWeight*DownPaymentCoverage+ReadinessTimelineWeight*TimelineFit,0)</f>
        <v/>
      </c>
      <c r="C8" s="8" t="inlineStr">
        <is>
          <t>Weights: Budget Fit 50%, Down Payment Coverage 35%, Timeline Fit 15%.</t>
        </is>
      </c>
    </row>
    <row r="9">
      <c r="A9" s="5" t="inlineStr">
        <is>
          <t>Status</t>
        </is>
      </c>
      <c r="B9" s="13">
        <f>IF(ReadinessPercent&gt;=85,"Ready",IF(ReadinessPercent&gt;=65,"Almost Ready",IF(ReadinessPercent&gt;=45,"Almost Ready",IF(ReadinessPercent&gt;=25,"Not Ready","Not Ready"))))</f>
        <v/>
      </c>
    </row>
    <row r="10">
      <c r="A10" s="5" t="inlineStr">
        <is>
          <t>Archetype</t>
        </is>
      </c>
      <c r="B10" s="13">
        <f>IF(ReadinessPercent&gt;=85,"buy-now",IF(ReadinessPercent&gt;=65,"near-ready",IF(ReadinessPercent&gt;=45,"emerging-buyer",IF(ReadinessPercent&gt;=25,"early-preparation","rent-for-now"))))</f>
        <v/>
      </c>
      <c r="C10" s="27" t="inlineStr">
        <is>
          <t>Still computed — no longer displayed on the results page (UI-only change, ReadinessScore.tsx).</t>
        </is>
      </c>
    </row>
    <row r="12" ht="28" customHeight="1">
      <c r="A12" s="4" t="inlineStr">
        <is>
          <t>Thresholds: ≥85 Ready/buy-now • ≥65 Almost Ready/near-ready • ≥45 Almost Ready/emerging-buyer • ≥25 Not Ready/early-preparation • else Not Ready/rent-for-now.</t>
        </is>
      </c>
    </row>
  </sheetData>
  <mergeCells count="3">
    <mergeCell ref="C8:G8"/>
    <mergeCell ref="A1:F1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10-Year Wealth Comparison (Buy) — calculateWealthComparison, basis = MaxHomePrice</t>
        </is>
      </c>
    </row>
    <row r="4">
      <c r="A4" s="5" t="inlineStr">
        <is>
          <t>Home Price Basis</t>
        </is>
      </c>
      <c r="B4" s="12">
        <f>MaxHomePrice</f>
        <v/>
      </c>
    </row>
    <row r="5">
      <c r="A5" s="5" t="inlineStr">
        <is>
          <t>Loan for Home</t>
        </is>
      </c>
      <c r="B5" s="12">
        <f>MAX(0,MaxHomePrice-MaxHomePrice*DownPaymentRate)</f>
        <v/>
      </c>
      <c r="C5" s="27" t="inlineStr">
        <is>
          <t>Uses the ASSUMED minimum down payment (MaxHomePrice*DownPaymentRate), NOT AvailableDownPayment — same standard financing assumption Sheet 7b (Target Price) now also uses: the modeled mortgage is always sized off the minimum required down payment, never real cash. Real AvailableDownPayment is used only for the separate Down Payment Gap (Sheet 4a/4b), never for sizing the modeled loan.</t>
        </is>
      </c>
    </row>
    <row r="6">
      <c r="A6" s="5" t="inlineStr">
        <is>
          <t>Installment for Home (30yr)</t>
        </is>
      </c>
      <c r="B6" s="12">
        <f>IF(BuyLoanFactor&gt;0,LoanForHome_MaxHomePrice/BuyLoanFactor,0)</f>
        <v/>
      </c>
      <c r="C6" s="8" t="inlineStr">
        <is>
          <t>This is the scenario's "Monthly payment" figure for Buy in the comparison grid.</t>
        </is>
      </c>
    </row>
    <row r="7">
      <c r="A7" s="5" t="inlineStr">
        <is>
          <t>Estimated Monthly Rent (for this basis)</t>
        </is>
      </c>
      <c r="B7" s="12">
        <f>MaxHomePrice*RentalYieldPct/12</f>
        <v/>
      </c>
      <c r="C7" s="8" t="inlineStr">
        <is>
          <t>Rent scenario's "Monthly payment" figure — market rent estimated from the SAME home price.</t>
        </is>
      </c>
    </row>
    <row r="9">
      <c r="A9" s="5" t="inlineStr">
        <is>
          <t>Year</t>
        </is>
      </c>
      <c r="B9" s="5" t="inlineStr">
        <is>
          <t>Home Value</t>
        </is>
      </c>
      <c r="C9" s="5" t="inlineStr">
        <is>
          <t>Loan Balance</t>
        </is>
      </c>
      <c r="D9" s="5" t="inlineStr">
        <is>
          <t>Home Equity</t>
        </is>
      </c>
      <c r="E9" s="5" t="inlineStr">
        <is>
          <t>Total Mortgage Paid</t>
        </is>
      </c>
      <c r="F9" s="5" t="inlineStr">
        <is>
          <t>Total Rent Paid</t>
        </is>
      </c>
    </row>
    <row r="10">
      <c r="A10" t="n">
        <v>1</v>
      </c>
      <c r="B10" s="12">
        <f>MaxHomePrice*(1+ExpectedAppreciationPct)^1</f>
        <v/>
      </c>
      <c r="C10" s="12">
        <f>IF(LoanForHome_MaxHomePrice&lt;=0,0,IF(BuyMonthlyRate=0,MAX(0,LoanForHome_MaxHomePrice-Installment_MaxHomePrice*12),MAX(0,LoanForHome_MaxHomePrice*(1+BuyMonthlyRate)^(12)-Installment_MaxHomePrice*(((1+BuyMonthlyRate)^(12)-1)/BuyMonthlyRate))))</f>
        <v/>
      </c>
      <c r="D10" s="12">
        <f>B10-C10</f>
        <v/>
      </c>
      <c r="E10" s="12">
        <f>Installment_MaxHomePrice*MIN(1*12,BuyLoanTenureYears*12)</f>
        <v/>
      </c>
      <c r="F10" s="12">
        <f>EstMonthlyRent_MaxHomePrice*12</f>
        <v/>
      </c>
    </row>
    <row r="11">
      <c r="A11" t="n">
        <v>2</v>
      </c>
      <c r="B11" s="12">
        <f>MaxHomePrice*(1+ExpectedAppreciationPct)^2</f>
        <v/>
      </c>
      <c r="C11" s="12">
        <f>IF(LoanForHome_MaxHomePrice&lt;=0,0,IF(BuyMonthlyRate=0,MAX(0,LoanForHome_MaxHomePrice-Installment_MaxHomePrice*24),MAX(0,LoanForHome_MaxHomePrice*(1+BuyMonthlyRate)^(24)-Installment_MaxHomePrice*(((1+BuyMonthlyRate)^(24)-1)/BuyMonthlyRate))))</f>
        <v/>
      </c>
      <c r="D11" s="12">
        <f>B11-C11</f>
        <v/>
      </c>
      <c r="E11" s="12">
        <f>Installment_MaxHomePrice*MIN(2*12,BuyLoanTenureYears*12)</f>
        <v/>
      </c>
      <c r="F11" s="12">
        <f>F10+MaxHomePrice*(1+ExpectedAppreciationPct)^1*RentalYieldPct</f>
        <v/>
      </c>
    </row>
    <row r="12">
      <c r="A12" t="n">
        <v>3</v>
      </c>
      <c r="B12" s="12">
        <f>MaxHomePrice*(1+ExpectedAppreciationPct)^3</f>
        <v/>
      </c>
      <c r="C12" s="12">
        <f>IF(LoanForHome_MaxHomePrice&lt;=0,0,IF(BuyMonthlyRate=0,MAX(0,LoanForHome_MaxHomePrice-Installment_MaxHomePrice*36),MAX(0,LoanForHome_MaxHomePrice*(1+BuyMonthlyRate)^(36)-Installment_MaxHomePrice*(((1+BuyMonthlyRate)^(36)-1)/BuyMonthlyRate))))</f>
        <v/>
      </c>
      <c r="D12" s="12">
        <f>B12-C12</f>
        <v/>
      </c>
      <c r="E12" s="12">
        <f>Installment_MaxHomePrice*MIN(3*12,BuyLoanTenureYears*12)</f>
        <v/>
      </c>
      <c r="F12" s="12">
        <f>F11+MaxHomePrice*(1+ExpectedAppreciationPct)^2*RentalYieldPct</f>
        <v/>
      </c>
    </row>
    <row r="13">
      <c r="A13" t="n">
        <v>4</v>
      </c>
      <c r="B13" s="12">
        <f>MaxHomePrice*(1+ExpectedAppreciationPct)^4</f>
        <v/>
      </c>
      <c r="C13" s="12">
        <f>IF(LoanForHome_MaxHomePrice&lt;=0,0,IF(BuyMonthlyRate=0,MAX(0,LoanForHome_MaxHomePrice-Installment_MaxHomePrice*48),MAX(0,LoanForHome_MaxHomePrice*(1+BuyMonthlyRate)^(48)-Installment_MaxHomePrice*(((1+BuyMonthlyRate)^(48)-1)/BuyMonthlyRate))))</f>
        <v/>
      </c>
      <c r="D13" s="12">
        <f>B13-C13</f>
        <v/>
      </c>
      <c r="E13" s="12">
        <f>Installment_MaxHomePrice*MIN(4*12,BuyLoanTenureYears*12)</f>
        <v/>
      </c>
      <c r="F13" s="12">
        <f>F12+MaxHomePrice*(1+ExpectedAppreciationPct)^3*RentalYieldPct</f>
        <v/>
      </c>
    </row>
    <row r="14">
      <c r="A14" t="n">
        <v>5</v>
      </c>
      <c r="B14" s="12">
        <f>MaxHomePrice*(1+ExpectedAppreciationPct)^5</f>
        <v/>
      </c>
      <c r="C14" s="12">
        <f>IF(LoanForHome_MaxHomePrice&lt;=0,0,IF(BuyMonthlyRate=0,MAX(0,LoanForHome_MaxHomePrice-Installment_MaxHomePrice*60),MAX(0,LoanForHome_MaxHomePrice*(1+BuyMonthlyRate)^(60)-Installment_MaxHomePrice*(((1+BuyMonthlyRate)^(60)-1)/BuyMonthlyRate))))</f>
        <v/>
      </c>
      <c r="D14" s="12">
        <f>B14-C14</f>
        <v/>
      </c>
      <c r="E14" s="12">
        <f>Installment_MaxHomePrice*MIN(5*12,BuyLoanTenureYears*12)</f>
        <v/>
      </c>
      <c r="F14" s="12">
        <f>F13+MaxHomePrice*(1+ExpectedAppreciationPct)^4*RentalYieldPct</f>
        <v/>
      </c>
    </row>
    <row r="15">
      <c r="A15" t="n">
        <v>6</v>
      </c>
      <c r="B15" s="12">
        <f>MaxHomePrice*(1+ExpectedAppreciationPct)^6</f>
        <v/>
      </c>
      <c r="C15" s="12">
        <f>IF(LoanForHome_MaxHomePrice&lt;=0,0,IF(BuyMonthlyRate=0,MAX(0,LoanForHome_MaxHomePrice-Installment_MaxHomePrice*72),MAX(0,LoanForHome_MaxHomePrice*(1+BuyMonthlyRate)^(72)-Installment_MaxHomePrice*(((1+BuyMonthlyRate)^(72)-1)/BuyMonthlyRate))))</f>
        <v/>
      </c>
      <c r="D15" s="12">
        <f>B15-C15</f>
        <v/>
      </c>
      <c r="E15" s="12">
        <f>Installment_MaxHomePrice*MIN(6*12,BuyLoanTenureYears*12)</f>
        <v/>
      </c>
      <c r="F15" s="12">
        <f>F14+MaxHomePrice*(1+ExpectedAppreciationPct)^5*RentalYieldPct</f>
        <v/>
      </c>
    </row>
    <row r="16">
      <c r="A16" t="n">
        <v>7</v>
      </c>
      <c r="B16" s="12">
        <f>MaxHomePrice*(1+ExpectedAppreciationPct)^7</f>
        <v/>
      </c>
      <c r="C16" s="12">
        <f>IF(LoanForHome_MaxHomePrice&lt;=0,0,IF(BuyMonthlyRate=0,MAX(0,LoanForHome_MaxHomePrice-Installment_MaxHomePrice*84),MAX(0,LoanForHome_MaxHomePrice*(1+BuyMonthlyRate)^(84)-Installment_MaxHomePrice*(((1+BuyMonthlyRate)^(84)-1)/BuyMonthlyRate))))</f>
        <v/>
      </c>
      <c r="D16" s="12">
        <f>B16-C16</f>
        <v/>
      </c>
      <c r="E16" s="12">
        <f>Installment_MaxHomePrice*MIN(7*12,BuyLoanTenureYears*12)</f>
        <v/>
      </c>
      <c r="F16" s="12">
        <f>F15+MaxHomePrice*(1+ExpectedAppreciationPct)^6*RentalYieldPct</f>
        <v/>
      </c>
    </row>
    <row r="17">
      <c r="A17" t="n">
        <v>8</v>
      </c>
      <c r="B17" s="12">
        <f>MaxHomePrice*(1+ExpectedAppreciationPct)^8</f>
        <v/>
      </c>
      <c r="C17" s="12">
        <f>IF(LoanForHome_MaxHomePrice&lt;=0,0,IF(BuyMonthlyRate=0,MAX(0,LoanForHome_MaxHomePrice-Installment_MaxHomePrice*96),MAX(0,LoanForHome_MaxHomePrice*(1+BuyMonthlyRate)^(96)-Installment_MaxHomePrice*(((1+BuyMonthlyRate)^(96)-1)/BuyMonthlyRate))))</f>
        <v/>
      </c>
      <c r="D17" s="12">
        <f>B17-C17</f>
        <v/>
      </c>
      <c r="E17" s="12">
        <f>Installment_MaxHomePrice*MIN(8*12,BuyLoanTenureYears*12)</f>
        <v/>
      </c>
      <c r="F17" s="12">
        <f>F16+MaxHomePrice*(1+ExpectedAppreciationPct)^7*RentalYieldPct</f>
        <v/>
      </c>
    </row>
    <row r="18">
      <c r="A18" t="n">
        <v>9</v>
      </c>
      <c r="B18" s="12">
        <f>MaxHomePrice*(1+ExpectedAppreciationPct)^9</f>
        <v/>
      </c>
      <c r="C18" s="12">
        <f>IF(LoanForHome_MaxHomePrice&lt;=0,0,IF(BuyMonthlyRate=0,MAX(0,LoanForHome_MaxHomePrice-Installment_MaxHomePrice*108),MAX(0,LoanForHome_MaxHomePrice*(1+BuyMonthlyRate)^(108)-Installment_MaxHomePrice*(((1+BuyMonthlyRate)^(108)-1)/BuyMonthlyRate))))</f>
        <v/>
      </c>
      <c r="D18" s="12">
        <f>B18-C18</f>
        <v/>
      </c>
      <c r="E18" s="12">
        <f>Installment_MaxHomePrice*MIN(9*12,BuyLoanTenureYears*12)</f>
        <v/>
      </c>
      <c r="F18" s="12">
        <f>F17+MaxHomePrice*(1+ExpectedAppreciationPct)^8*RentalYieldPct</f>
        <v/>
      </c>
    </row>
    <row r="19">
      <c r="A19" t="n">
        <v>10</v>
      </c>
      <c r="B19" s="12">
        <f>MaxHomePrice*(1+ExpectedAppreciationPct)^10</f>
        <v/>
      </c>
      <c r="C19" s="12">
        <f>IF(LoanForHome_MaxHomePrice&lt;=0,0,IF(BuyMonthlyRate=0,MAX(0,LoanForHome_MaxHomePrice-Installment_MaxHomePrice*120),MAX(0,LoanForHome_MaxHomePrice*(1+BuyMonthlyRate)^(120)-Installment_MaxHomePrice*(((1+BuyMonthlyRate)^(120)-1)/BuyMonthlyRate))))</f>
        <v/>
      </c>
      <c r="D19" s="12">
        <f>B19-C19</f>
        <v/>
      </c>
      <c r="E19" s="12">
        <f>Installment_MaxHomePrice*MIN(10*12,BuyLoanTenureYears*12)</f>
        <v/>
      </c>
      <c r="F19" s="12">
        <f>F18+MaxHomePrice*(1+ExpectedAppreciationPct)^9*RentalYieldPct</f>
        <v/>
      </c>
    </row>
    <row r="21">
      <c r="A21" s="27" t="inlineStr">
        <is>
          <t>Loan Balance (col C): exponent is parenthesized — ^(months), not ^months — since Excel's ^ binds tighter than *; ^N*12 would silently compute (base)^N*12 instead of (base)^(N*12), understating growth so badly the balance clamped to ฿0 every year.</t>
        </is>
      </c>
    </row>
    <row r="22">
      <c r="A22" s="27" t="inlineStr">
        <is>
          <t>Total Rent Paid (col F): cumulative, not EstMonthlyRent*months — rent grows with the property's own appreciation at the same constant RentalYieldPct (year 1 = 12*EstMonthlyRent exactly; each later year adds that year's own higher annual rent).</t>
        </is>
      </c>
    </row>
    <row r="23">
      <c r="A23" s="5" t="inlineStr">
        <is>
          <t>Affordable Home Value @ Year 10 (= Capital Value, Buy)</t>
        </is>
      </c>
      <c r="B23" s="12">
        <f>B19</f>
        <v/>
      </c>
      <c r="C23" s="8" t="inlineStr">
        <is>
          <t>Also used verbatim as RTO's own Year-10 Capital Value at this same basis (Sheet 8/9) — a home's market value doesn't depend on how it was financed.</t>
        </is>
      </c>
    </row>
  </sheetData>
  <mergeCells count="6">
    <mergeCell ref="C7:G7"/>
    <mergeCell ref="C6:G6"/>
    <mergeCell ref="A1:F1"/>
    <mergeCell ref="A22:F22"/>
    <mergeCell ref="C23:G23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10-Year Wealth Comparison (Buy) — calculateWealthComparison, basis = TargetHomePrice</t>
        </is>
      </c>
    </row>
    <row r="4">
      <c r="A4" s="5" t="inlineStr">
        <is>
          <t>Home Price Basis</t>
        </is>
      </c>
      <c r="B4" s="12">
        <f>TargetHomePrice</f>
        <v/>
      </c>
    </row>
    <row r="5">
      <c r="A5" s="5" t="inlineStr">
        <is>
          <t>Loan for Home</t>
        </is>
      </c>
      <c r="B5" s="32">
        <f>MAX(0,TargetHomePrice-TargetHomePrice*DownPaymentRate)</f>
        <v/>
      </c>
      <c r="C5" s="27" t="inlineStr">
        <is>
          <t>Uses the ASSUMED minimum down payment (TargetHomePrice*DownPaymentRate), NOT AvailableDownPayment — same standard financing assumption as Recommended (Sheet 7a): the modeled mortgage is always sized off the minimum required down payment, never real cash. Real AvailableDownPayment is used only for the separate Down Payment Gap (Sheet 4a/4b), never for sizing the modeled loan. (Was TargetHomePrice-AvailableDownPayment — that made Target's modeled installment diverge from a household's real cash position, which the Down Payment Gap already covers on its own.)</t>
        </is>
      </c>
    </row>
    <row r="6">
      <c r="A6" s="5" t="inlineStr">
        <is>
          <t>Installment for Home (30yr)</t>
        </is>
      </c>
      <c r="B6" s="12">
        <f>IF(BuyLoanFactor&gt;0,LoanForHome_TargetHomePrice/BuyLoanFactor,0)</f>
        <v/>
      </c>
      <c r="C6" s="8" t="inlineStr">
        <is>
          <t>This is the scenario's "Monthly payment" figure for Buy in the comparison grid.</t>
        </is>
      </c>
    </row>
    <row r="7">
      <c r="A7" s="5" t="inlineStr">
        <is>
          <t>Estimated Monthly Rent (for this basis)</t>
        </is>
      </c>
      <c r="B7" s="12">
        <f>TargetHomePrice*RentalYieldPct/12</f>
        <v/>
      </c>
      <c r="C7" s="8" t="inlineStr">
        <is>
          <t>Rent scenario's "Monthly payment" figure — market rent estimated from the SAME home price.</t>
        </is>
      </c>
    </row>
    <row r="9">
      <c r="A9" s="5" t="inlineStr">
        <is>
          <t>Year</t>
        </is>
      </c>
      <c r="B9" s="5" t="inlineStr">
        <is>
          <t>Home Value</t>
        </is>
      </c>
      <c r="C9" s="5" t="inlineStr">
        <is>
          <t>Loan Balance</t>
        </is>
      </c>
      <c r="D9" s="5" t="inlineStr">
        <is>
          <t>Home Equity</t>
        </is>
      </c>
      <c r="E9" s="5" t="inlineStr">
        <is>
          <t>Total Mortgage Paid</t>
        </is>
      </c>
      <c r="F9" s="5" t="inlineStr">
        <is>
          <t>Total Rent Paid</t>
        </is>
      </c>
    </row>
    <row r="10">
      <c r="A10" t="n">
        <v>1</v>
      </c>
      <c r="B10" s="12">
        <f>TargetHomePrice*(1+ExpectedAppreciationPct)^1</f>
        <v/>
      </c>
      <c r="C10" s="12">
        <f>IF(LoanForHome_TargetHomePrice&lt;=0,0,IF(BuyMonthlyRate=0,MAX(0,LoanForHome_TargetHomePrice-Installment_TargetHomePrice*12),MAX(0,LoanForHome_TargetHomePrice*(1+BuyMonthlyRate)^(12)-Installment_TargetHomePrice*(((1+BuyMonthlyRate)^(12)-1)/BuyMonthlyRate))))</f>
        <v/>
      </c>
      <c r="D10" s="12">
        <f>B10-C10</f>
        <v/>
      </c>
      <c r="E10" s="12">
        <f>Installment_TargetHomePrice*MIN(1*12,BuyLoanTenureYears*12)</f>
        <v/>
      </c>
      <c r="F10" s="12">
        <f>EstMonthlyRent_TargetHomePrice*12</f>
        <v/>
      </c>
    </row>
    <row r="11">
      <c r="A11" t="n">
        <v>2</v>
      </c>
      <c r="B11" s="12">
        <f>TargetHomePrice*(1+ExpectedAppreciationPct)^2</f>
        <v/>
      </c>
      <c r="C11" s="12">
        <f>IF(LoanForHome_TargetHomePrice&lt;=0,0,IF(BuyMonthlyRate=0,MAX(0,LoanForHome_TargetHomePrice-Installment_TargetHomePrice*24),MAX(0,LoanForHome_TargetHomePrice*(1+BuyMonthlyRate)^(24)-Installment_TargetHomePrice*(((1+BuyMonthlyRate)^(24)-1)/BuyMonthlyRate))))</f>
        <v/>
      </c>
      <c r="D11" s="12">
        <f>B11-C11</f>
        <v/>
      </c>
      <c r="E11" s="12">
        <f>Installment_TargetHomePrice*MIN(2*12,BuyLoanTenureYears*12)</f>
        <v/>
      </c>
      <c r="F11" s="12">
        <f>F10+TargetHomePrice*(1+ExpectedAppreciationPct)^1*RentalYieldPct</f>
        <v/>
      </c>
    </row>
    <row r="12">
      <c r="A12" t="n">
        <v>3</v>
      </c>
      <c r="B12" s="12">
        <f>TargetHomePrice*(1+ExpectedAppreciationPct)^3</f>
        <v/>
      </c>
      <c r="C12" s="12">
        <f>IF(LoanForHome_TargetHomePrice&lt;=0,0,IF(BuyMonthlyRate=0,MAX(0,LoanForHome_TargetHomePrice-Installment_TargetHomePrice*36),MAX(0,LoanForHome_TargetHomePrice*(1+BuyMonthlyRate)^(36)-Installment_TargetHomePrice*(((1+BuyMonthlyRate)^(36)-1)/BuyMonthlyRate))))</f>
        <v/>
      </c>
      <c r="D12" s="12">
        <f>B12-C12</f>
        <v/>
      </c>
      <c r="E12" s="12">
        <f>Installment_TargetHomePrice*MIN(3*12,BuyLoanTenureYears*12)</f>
        <v/>
      </c>
      <c r="F12" s="12">
        <f>F11+TargetHomePrice*(1+ExpectedAppreciationPct)^2*RentalYieldPct</f>
        <v/>
      </c>
    </row>
    <row r="13">
      <c r="A13" t="n">
        <v>4</v>
      </c>
      <c r="B13" s="12">
        <f>TargetHomePrice*(1+ExpectedAppreciationPct)^4</f>
        <v/>
      </c>
      <c r="C13" s="12">
        <f>IF(LoanForHome_TargetHomePrice&lt;=0,0,IF(BuyMonthlyRate=0,MAX(0,LoanForHome_TargetHomePrice-Installment_TargetHomePrice*48),MAX(0,LoanForHome_TargetHomePrice*(1+BuyMonthlyRate)^(48)-Installment_TargetHomePrice*(((1+BuyMonthlyRate)^(48)-1)/BuyMonthlyRate))))</f>
        <v/>
      </c>
      <c r="D13" s="12">
        <f>B13-C13</f>
        <v/>
      </c>
      <c r="E13" s="12">
        <f>Installment_TargetHomePrice*MIN(4*12,BuyLoanTenureYears*12)</f>
        <v/>
      </c>
      <c r="F13" s="12">
        <f>F12+TargetHomePrice*(1+ExpectedAppreciationPct)^3*RentalYieldPct</f>
        <v/>
      </c>
    </row>
    <row r="14">
      <c r="A14" t="n">
        <v>5</v>
      </c>
      <c r="B14" s="12">
        <f>TargetHomePrice*(1+ExpectedAppreciationPct)^5</f>
        <v/>
      </c>
      <c r="C14" s="12">
        <f>IF(LoanForHome_TargetHomePrice&lt;=0,0,IF(BuyMonthlyRate=0,MAX(0,LoanForHome_TargetHomePrice-Installment_TargetHomePrice*60),MAX(0,LoanForHome_TargetHomePrice*(1+BuyMonthlyRate)^(60)-Installment_TargetHomePrice*(((1+BuyMonthlyRate)^(60)-1)/BuyMonthlyRate))))</f>
        <v/>
      </c>
      <c r="D14" s="12">
        <f>B14-C14</f>
        <v/>
      </c>
      <c r="E14" s="12">
        <f>Installment_TargetHomePrice*MIN(5*12,BuyLoanTenureYears*12)</f>
        <v/>
      </c>
      <c r="F14" s="12">
        <f>F13+TargetHomePrice*(1+ExpectedAppreciationPct)^4*RentalYieldPct</f>
        <v/>
      </c>
    </row>
    <row r="15">
      <c r="A15" t="n">
        <v>6</v>
      </c>
      <c r="B15" s="12">
        <f>TargetHomePrice*(1+ExpectedAppreciationPct)^6</f>
        <v/>
      </c>
      <c r="C15" s="12">
        <f>IF(LoanForHome_TargetHomePrice&lt;=0,0,IF(BuyMonthlyRate=0,MAX(0,LoanForHome_TargetHomePrice-Installment_TargetHomePrice*72),MAX(0,LoanForHome_TargetHomePrice*(1+BuyMonthlyRate)^(72)-Installment_TargetHomePrice*(((1+BuyMonthlyRate)^(72)-1)/BuyMonthlyRate))))</f>
        <v/>
      </c>
      <c r="D15" s="12">
        <f>B15-C15</f>
        <v/>
      </c>
      <c r="E15" s="12">
        <f>Installment_TargetHomePrice*MIN(6*12,BuyLoanTenureYears*12)</f>
        <v/>
      </c>
      <c r="F15" s="12">
        <f>F14+TargetHomePrice*(1+ExpectedAppreciationPct)^5*RentalYieldPct</f>
        <v/>
      </c>
    </row>
    <row r="16">
      <c r="A16" t="n">
        <v>7</v>
      </c>
      <c r="B16" s="12">
        <f>TargetHomePrice*(1+ExpectedAppreciationPct)^7</f>
        <v/>
      </c>
      <c r="C16" s="12">
        <f>IF(LoanForHome_TargetHomePrice&lt;=0,0,IF(BuyMonthlyRate=0,MAX(0,LoanForHome_TargetHomePrice-Installment_TargetHomePrice*84),MAX(0,LoanForHome_TargetHomePrice*(1+BuyMonthlyRate)^(84)-Installment_TargetHomePrice*(((1+BuyMonthlyRate)^(84)-1)/BuyMonthlyRate))))</f>
        <v/>
      </c>
      <c r="D16" s="12">
        <f>B16-C16</f>
        <v/>
      </c>
      <c r="E16" s="12">
        <f>Installment_TargetHomePrice*MIN(7*12,BuyLoanTenureYears*12)</f>
        <v/>
      </c>
      <c r="F16" s="12">
        <f>F15+TargetHomePrice*(1+ExpectedAppreciationPct)^6*RentalYieldPct</f>
        <v/>
      </c>
    </row>
    <row r="17">
      <c r="A17" t="n">
        <v>8</v>
      </c>
      <c r="B17" s="12">
        <f>TargetHomePrice*(1+ExpectedAppreciationPct)^8</f>
        <v/>
      </c>
      <c r="C17" s="12">
        <f>IF(LoanForHome_TargetHomePrice&lt;=0,0,IF(BuyMonthlyRate=0,MAX(0,LoanForHome_TargetHomePrice-Installment_TargetHomePrice*96),MAX(0,LoanForHome_TargetHomePrice*(1+BuyMonthlyRate)^(96)-Installment_TargetHomePrice*(((1+BuyMonthlyRate)^(96)-1)/BuyMonthlyRate))))</f>
        <v/>
      </c>
      <c r="D17" s="12">
        <f>B17-C17</f>
        <v/>
      </c>
      <c r="E17" s="12">
        <f>Installment_TargetHomePrice*MIN(8*12,BuyLoanTenureYears*12)</f>
        <v/>
      </c>
      <c r="F17" s="12">
        <f>F16+TargetHomePrice*(1+ExpectedAppreciationPct)^7*RentalYieldPct</f>
        <v/>
      </c>
    </row>
    <row r="18">
      <c r="A18" t="n">
        <v>9</v>
      </c>
      <c r="B18" s="12">
        <f>TargetHomePrice*(1+ExpectedAppreciationPct)^9</f>
        <v/>
      </c>
      <c r="C18" s="12">
        <f>IF(LoanForHome_TargetHomePrice&lt;=0,0,IF(BuyMonthlyRate=0,MAX(0,LoanForHome_TargetHomePrice-Installment_TargetHomePrice*108),MAX(0,LoanForHome_TargetHomePrice*(1+BuyMonthlyRate)^(108)-Installment_TargetHomePrice*(((1+BuyMonthlyRate)^(108)-1)/BuyMonthlyRate))))</f>
        <v/>
      </c>
      <c r="D18" s="12">
        <f>B18-C18</f>
        <v/>
      </c>
      <c r="E18" s="12">
        <f>Installment_TargetHomePrice*MIN(9*12,BuyLoanTenureYears*12)</f>
        <v/>
      </c>
      <c r="F18" s="12">
        <f>F17+TargetHomePrice*(1+ExpectedAppreciationPct)^8*RentalYieldPct</f>
        <v/>
      </c>
    </row>
    <row r="19">
      <c r="A19" t="n">
        <v>10</v>
      </c>
      <c r="B19" s="12">
        <f>TargetHomePrice*(1+ExpectedAppreciationPct)^10</f>
        <v/>
      </c>
      <c r="C19" s="12">
        <f>IF(LoanForHome_TargetHomePrice&lt;=0,0,IF(BuyMonthlyRate=0,MAX(0,LoanForHome_TargetHomePrice-Installment_TargetHomePrice*120),MAX(0,LoanForHome_TargetHomePrice*(1+BuyMonthlyRate)^(120)-Installment_TargetHomePrice*(((1+BuyMonthlyRate)^(120)-1)/BuyMonthlyRate))))</f>
        <v/>
      </c>
      <c r="D19" s="12">
        <f>B19-C19</f>
        <v/>
      </c>
      <c r="E19" s="12">
        <f>Installment_TargetHomePrice*MIN(10*12,BuyLoanTenureYears*12)</f>
        <v/>
      </c>
      <c r="F19" s="12">
        <f>F18+TargetHomePrice*(1+ExpectedAppreciationPct)^9*RentalYieldPct</f>
        <v/>
      </c>
    </row>
    <row r="21">
      <c r="A21" s="27" t="inlineStr">
        <is>
          <t>Loan Balance (col C): exponent is parenthesized — ^(months), not ^months — since Excel's ^ binds tighter than *; ^N*12 would silently compute (base)^N*12 instead of (base)^(N*12), understating growth so badly the balance clamped to ฿0 every year.</t>
        </is>
      </c>
    </row>
    <row r="22">
      <c r="A22" s="27" t="inlineStr">
        <is>
          <t>Total Rent Paid (col F): cumulative, not EstMonthlyRent*months — rent grows with the property's own appreciation at the same constant RentalYieldPct (year 1 = 12*EstMonthlyRent exactly; each later year adds that year's own higher annual rent).</t>
        </is>
      </c>
    </row>
    <row r="23">
      <c r="A23" s="5" t="inlineStr">
        <is>
          <t>Affordable Home Value @ Year 10 (= Capital Value, Buy)</t>
        </is>
      </c>
      <c r="B23" s="12">
        <f>B19</f>
        <v/>
      </c>
      <c r="C23" s="8" t="inlineStr">
        <is>
          <t>Also used verbatim as RTO's own Year-10 Capital Value at this same basis (Sheet 8/9) — a home's market value doesn't depend on how it was financed.</t>
        </is>
      </c>
    </row>
  </sheetData>
  <mergeCells count="6">
    <mergeCell ref="C7:G7"/>
    <mergeCell ref="C6:G6"/>
    <mergeCell ref="A1:F1"/>
    <mergeCell ref="A22:F22"/>
    <mergeCell ref="C23:G23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Rent-to-Own — calculateRentToOwn, basis = MaxHomePrice</t>
        </is>
      </c>
    </row>
    <row r="3" ht="28" customHeight="1">
      <c r="A3" s="33" t="inlineStr">
        <is>
          <t>Reproduces RTO-Payment.xlsx's formulas verbatim for Years 1-3 (see CalculationAssumptions' rto* fields), then models the actual pathway: at the end of Year 3 the household transitions to a normal mortgage on whatever the RTO contract hasn't already credited toward the price (rows 50-52) — RTO is a 3-year pathway TO ownership, not a flat payment that somehow continues for all 10 years.</t>
        </is>
      </c>
    </row>
    <row r="5">
      <c r="A5" s="5" t="inlineStr">
        <is>
          <t>RTO Contract Price</t>
        </is>
      </c>
      <c r="B5" s="12">
        <f>MaxHomePrice*(1+RtoPriceMarkupRate)</f>
        <v/>
      </c>
    </row>
    <row r="6">
      <c r="A6" s="5" t="inlineStr">
        <is>
          <t>Contract Fee (one-time, due at signing)</t>
        </is>
      </c>
      <c r="B6" s="12">
        <f>MaxHomePrice*RtoContractFeeRate</f>
        <v/>
      </c>
    </row>
    <row r="7">
      <c r="A7" s="5" t="inlineStr">
        <is>
          <t>Monthly RTO Payment</t>
        </is>
      </c>
      <c r="B7" s="12">
        <f>(RtoPrice_MaxHomePrice/1000000)*RtoPaymentPerMillion</f>
        <v/>
      </c>
      <c r="C7" s="8" t="inlineStr">
        <is>
          <t>This scenario's "Monthly payment" figure in the comparison grid.</t>
        </is>
      </c>
    </row>
    <row r="9">
      <c r="A9" s="17" t="inlineStr">
        <is>
          <t>36-month amortization (imputed interest steps up 1%/yr) — reproduces the sheet's own "After 3 Year" milestone</t>
        </is>
      </c>
    </row>
    <row r="10">
      <c r="A10" s="5" t="inlineStr">
        <is>
          <t>Month</t>
        </is>
      </c>
      <c r="B10" s="5" t="inlineStr">
        <is>
          <t>Imputed Rate (annual)</t>
        </is>
      </c>
      <c r="C10" s="5" t="inlineStr">
        <is>
          <t>Interest</t>
        </is>
      </c>
      <c r="D10" s="5" t="inlineStr">
        <is>
          <t>Principal</t>
        </is>
      </c>
      <c r="E10" s="5" t="inlineStr">
        <is>
          <t>Remaining Balance</t>
        </is>
      </c>
    </row>
    <row r="11">
      <c r="A11" t="n">
        <v>1</v>
      </c>
      <c r="B11" s="14">
        <f>IF(1&lt;=12,RtoYear1Rate,IF(1&lt;=24,RtoYear2Rate,RtoYear3Rate))</f>
        <v/>
      </c>
      <c r="C11" s="12">
        <f>RtoPrice_MaxHomePrice*B11/12</f>
        <v/>
      </c>
      <c r="D11" s="12">
        <f>RtoMonthlyPayment_MaxHomePrice-C11</f>
        <v/>
      </c>
      <c r="E11" s="12">
        <f>RtoPrice_MaxHomePrice-D11</f>
        <v/>
      </c>
    </row>
    <row r="12">
      <c r="A12" t="n">
        <v>2</v>
      </c>
      <c r="B12" s="14">
        <f>IF(2&lt;=12,RtoYear1Rate,IF(2&lt;=24,RtoYear2Rate,RtoYear3Rate))</f>
        <v/>
      </c>
      <c r="C12" s="12">
        <f>E11*B12/12</f>
        <v/>
      </c>
      <c r="D12" s="12">
        <f>RtoMonthlyPayment_MaxHomePrice-C12</f>
        <v/>
      </c>
      <c r="E12" s="12">
        <f>E11-D12</f>
        <v/>
      </c>
    </row>
    <row r="13">
      <c r="A13" t="n">
        <v>3</v>
      </c>
      <c r="B13" s="14">
        <f>IF(3&lt;=12,RtoYear1Rate,IF(3&lt;=24,RtoYear2Rate,RtoYear3Rate))</f>
        <v/>
      </c>
      <c r="C13" s="12">
        <f>E12*B13/12</f>
        <v/>
      </c>
      <c r="D13" s="12">
        <f>RtoMonthlyPayment_MaxHomePrice-C13</f>
        <v/>
      </c>
      <c r="E13" s="12">
        <f>E12-D13</f>
        <v/>
      </c>
    </row>
    <row r="14">
      <c r="A14" t="n">
        <v>4</v>
      </c>
      <c r="B14" s="14">
        <f>IF(4&lt;=12,RtoYear1Rate,IF(4&lt;=24,RtoYear2Rate,RtoYear3Rate))</f>
        <v/>
      </c>
      <c r="C14" s="12">
        <f>E13*B14/12</f>
        <v/>
      </c>
      <c r="D14" s="12">
        <f>RtoMonthlyPayment_MaxHomePrice-C14</f>
        <v/>
      </c>
      <c r="E14" s="12">
        <f>E13-D14</f>
        <v/>
      </c>
    </row>
    <row r="15">
      <c r="A15" t="n">
        <v>5</v>
      </c>
      <c r="B15" s="14">
        <f>IF(5&lt;=12,RtoYear1Rate,IF(5&lt;=24,RtoYear2Rate,RtoYear3Rate))</f>
        <v/>
      </c>
      <c r="C15" s="12">
        <f>E14*B15/12</f>
        <v/>
      </c>
      <c r="D15" s="12">
        <f>RtoMonthlyPayment_MaxHomePrice-C15</f>
        <v/>
      </c>
      <c r="E15" s="12">
        <f>E14-D15</f>
        <v/>
      </c>
    </row>
    <row r="16">
      <c r="A16" t="n">
        <v>6</v>
      </c>
      <c r="B16" s="14">
        <f>IF(6&lt;=12,RtoYear1Rate,IF(6&lt;=24,RtoYear2Rate,RtoYear3Rate))</f>
        <v/>
      </c>
      <c r="C16" s="12">
        <f>E15*B16/12</f>
        <v/>
      </c>
      <c r="D16" s="12">
        <f>RtoMonthlyPayment_MaxHomePrice-C16</f>
        <v/>
      </c>
      <c r="E16" s="12">
        <f>E15-D16</f>
        <v/>
      </c>
    </row>
    <row r="17">
      <c r="A17" t="n">
        <v>7</v>
      </c>
      <c r="B17" s="14">
        <f>IF(7&lt;=12,RtoYear1Rate,IF(7&lt;=24,RtoYear2Rate,RtoYear3Rate))</f>
        <v/>
      </c>
      <c r="C17" s="12">
        <f>E16*B17/12</f>
        <v/>
      </c>
      <c r="D17" s="12">
        <f>RtoMonthlyPayment_MaxHomePrice-C17</f>
        <v/>
      </c>
      <c r="E17" s="12">
        <f>E16-D17</f>
        <v/>
      </c>
    </row>
    <row r="18">
      <c r="A18" t="n">
        <v>8</v>
      </c>
      <c r="B18" s="14">
        <f>IF(8&lt;=12,RtoYear1Rate,IF(8&lt;=24,RtoYear2Rate,RtoYear3Rate))</f>
        <v/>
      </c>
      <c r="C18" s="12">
        <f>E17*B18/12</f>
        <v/>
      </c>
      <c r="D18" s="12">
        <f>RtoMonthlyPayment_MaxHomePrice-C18</f>
        <v/>
      </c>
      <c r="E18" s="12">
        <f>E17-D18</f>
        <v/>
      </c>
    </row>
    <row r="19">
      <c r="A19" t="n">
        <v>9</v>
      </c>
      <c r="B19" s="14">
        <f>IF(9&lt;=12,RtoYear1Rate,IF(9&lt;=24,RtoYear2Rate,RtoYear3Rate))</f>
        <v/>
      </c>
      <c r="C19" s="12">
        <f>E18*B19/12</f>
        <v/>
      </c>
      <c r="D19" s="12">
        <f>RtoMonthlyPayment_MaxHomePrice-C19</f>
        <v/>
      </c>
      <c r="E19" s="12">
        <f>E18-D19</f>
        <v/>
      </c>
    </row>
    <row r="20">
      <c r="A20" t="n">
        <v>10</v>
      </c>
      <c r="B20" s="14">
        <f>IF(10&lt;=12,RtoYear1Rate,IF(10&lt;=24,RtoYear2Rate,RtoYear3Rate))</f>
        <v/>
      </c>
      <c r="C20" s="12">
        <f>E19*B20/12</f>
        <v/>
      </c>
      <c r="D20" s="12">
        <f>RtoMonthlyPayment_MaxHomePrice-C20</f>
        <v/>
      </c>
      <c r="E20" s="12">
        <f>E19-D20</f>
        <v/>
      </c>
    </row>
    <row r="21">
      <c r="A21" t="n">
        <v>11</v>
      </c>
      <c r="B21" s="14">
        <f>IF(11&lt;=12,RtoYear1Rate,IF(11&lt;=24,RtoYear2Rate,RtoYear3Rate))</f>
        <v/>
      </c>
      <c r="C21" s="12">
        <f>E20*B21/12</f>
        <v/>
      </c>
      <c r="D21" s="12">
        <f>RtoMonthlyPayment_MaxHomePrice-C21</f>
        <v/>
      </c>
      <c r="E21" s="12">
        <f>E20-D21</f>
        <v/>
      </c>
    </row>
    <row r="22">
      <c r="A22" t="n">
        <v>12</v>
      </c>
      <c r="B22" s="14">
        <f>IF(12&lt;=12,RtoYear1Rate,IF(12&lt;=24,RtoYear2Rate,RtoYear3Rate))</f>
        <v/>
      </c>
      <c r="C22" s="12">
        <f>E21*B22/12</f>
        <v/>
      </c>
      <c r="D22" s="12">
        <f>RtoMonthlyPayment_MaxHomePrice-C22</f>
        <v/>
      </c>
      <c r="E22" s="12">
        <f>E21-D22</f>
        <v/>
      </c>
    </row>
    <row r="23">
      <c r="A23" t="n">
        <v>13</v>
      </c>
      <c r="B23" s="14">
        <f>IF(13&lt;=12,RtoYear1Rate,IF(13&lt;=24,RtoYear2Rate,RtoYear3Rate))</f>
        <v/>
      </c>
      <c r="C23" s="12">
        <f>E22*B23/12</f>
        <v/>
      </c>
      <c r="D23" s="12">
        <f>RtoMonthlyPayment_MaxHomePrice-C23</f>
        <v/>
      </c>
      <c r="E23" s="12">
        <f>E22-D23</f>
        <v/>
      </c>
    </row>
    <row r="24">
      <c r="A24" t="n">
        <v>14</v>
      </c>
      <c r="B24" s="14">
        <f>IF(14&lt;=12,RtoYear1Rate,IF(14&lt;=24,RtoYear2Rate,RtoYear3Rate))</f>
        <v/>
      </c>
      <c r="C24" s="12">
        <f>E23*B24/12</f>
        <v/>
      </c>
      <c r="D24" s="12">
        <f>RtoMonthlyPayment_MaxHomePrice-C24</f>
        <v/>
      </c>
      <c r="E24" s="12">
        <f>E23-D24</f>
        <v/>
      </c>
    </row>
    <row r="25">
      <c r="A25" t="n">
        <v>15</v>
      </c>
      <c r="B25" s="14">
        <f>IF(15&lt;=12,RtoYear1Rate,IF(15&lt;=24,RtoYear2Rate,RtoYear3Rate))</f>
        <v/>
      </c>
      <c r="C25" s="12">
        <f>E24*B25/12</f>
        <v/>
      </c>
      <c r="D25" s="12">
        <f>RtoMonthlyPayment_MaxHomePrice-C25</f>
        <v/>
      </c>
      <c r="E25" s="12">
        <f>E24-D25</f>
        <v/>
      </c>
    </row>
    <row r="26">
      <c r="A26" t="n">
        <v>16</v>
      </c>
      <c r="B26" s="14">
        <f>IF(16&lt;=12,RtoYear1Rate,IF(16&lt;=24,RtoYear2Rate,RtoYear3Rate))</f>
        <v/>
      </c>
      <c r="C26" s="12">
        <f>E25*B26/12</f>
        <v/>
      </c>
      <c r="D26" s="12">
        <f>RtoMonthlyPayment_MaxHomePrice-C26</f>
        <v/>
      </c>
      <c r="E26" s="12">
        <f>E25-D26</f>
        <v/>
      </c>
    </row>
    <row r="27">
      <c r="A27" t="n">
        <v>17</v>
      </c>
      <c r="B27" s="14">
        <f>IF(17&lt;=12,RtoYear1Rate,IF(17&lt;=24,RtoYear2Rate,RtoYear3Rate))</f>
        <v/>
      </c>
      <c r="C27" s="12">
        <f>E26*B27/12</f>
        <v/>
      </c>
      <c r="D27" s="12">
        <f>RtoMonthlyPayment_MaxHomePrice-C27</f>
        <v/>
      </c>
      <c r="E27" s="12">
        <f>E26-D27</f>
        <v/>
      </c>
    </row>
    <row r="28">
      <c r="A28" t="n">
        <v>18</v>
      </c>
      <c r="B28" s="14">
        <f>IF(18&lt;=12,RtoYear1Rate,IF(18&lt;=24,RtoYear2Rate,RtoYear3Rate))</f>
        <v/>
      </c>
      <c r="C28" s="12">
        <f>E27*B28/12</f>
        <v/>
      </c>
      <c r="D28" s="12">
        <f>RtoMonthlyPayment_MaxHomePrice-C28</f>
        <v/>
      </c>
      <c r="E28" s="12">
        <f>E27-D28</f>
        <v/>
      </c>
    </row>
    <row r="29">
      <c r="A29" t="n">
        <v>19</v>
      </c>
      <c r="B29" s="14">
        <f>IF(19&lt;=12,RtoYear1Rate,IF(19&lt;=24,RtoYear2Rate,RtoYear3Rate))</f>
        <v/>
      </c>
      <c r="C29" s="12">
        <f>E28*B29/12</f>
        <v/>
      </c>
      <c r="D29" s="12">
        <f>RtoMonthlyPayment_MaxHomePrice-C29</f>
        <v/>
      </c>
      <c r="E29" s="12">
        <f>E28-D29</f>
        <v/>
      </c>
    </row>
    <row r="30">
      <c r="A30" t="n">
        <v>20</v>
      </c>
      <c r="B30" s="14">
        <f>IF(20&lt;=12,RtoYear1Rate,IF(20&lt;=24,RtoYear2Rate,RtoYear3Rate))</f>
        <v/>
      </c>
      <c r="C30" s="12">
        <f>E29*B30/12</f>
        <v/>
      </c>
      <c r="D30" s="12">
        <f>RtoMonthlyPayment_MaxHomePrice-C30</f>
        <v/>
      </c>
      <c r="E30" s="12">
        <f>E29-D30</f>
        <v/>
      </c>
    </row>
    <row r="31">
      <c r="A31" t="n">
        <v>21</v>
      </c>
      <c r="B31" s="14">
        <f>IF(21&lt;=12,RtoYear1Rate,IF(21&lt;=24,RtoYear2Rate,RtoYear3Rate))</f>
        <v/>
      </c>
      <c r="C31" s="12">
        <f>E30*B31/12</f>
        <v/>
      </c>
      <c r="D31" s="12">
        <f>RtoMonthlyPayment_MaxHomePrice-C31</f>
        <v/>
      </c>
      <c r="E31" s="12">
        <f>E30-D31</f>
        <v/>
      </c>
    </row>
    <row r="32">
      <c r="A32" t="n">
        <v>22</v>
      </c>
      <c r="B32" s="14">
        <f>IF(22&lt;=12,RtoYear1Rate,IF(22&lt;=24,RtoYear2Rate,RtoYear3Rate))</f>
        <v/>
      </c>
      <c r="C32" s="12">
        <f>E31*B32/12</f>
        <v/>
      </c>
      <c r="D32" s="12">
        <f>RtoMonthlyPayment_MaxHomePrice-C32</f>
        <v/>
      </c>
      <c r="E32" s="12">
        <f>E31-D32</f>
        <v/>
      </c>
    </row>
    <row r="33">
      <c r="A33" t="n">
        <v>23</v>
      </c>
      <c r="B33" s="14">
        <f>IF(23&lt;=12,RtoYear1Rate,IF(23&lt;=24,RtoYear2Rate,RtoYear3Rate))</f>
        <v/>
      </c>
      <c r="C33" s="12">
        <f>E32*B33/12</f>
        <v/>
      </c>
      <c r="D33" s="12">
        <f>RtoMonthlyPayment_MaxHomePrice-C33</f>
        <v/>
      </c>
      <c r="E33" s="12">
        <f>E32-D33</f>
        <v/>
      </c>
    </row>
    <row r="34">
      <c r="A34" t="n">
        <v>24</v>
      </c>
      <c r="B34" s="14">
        <f>IF(24&lt;=12,RtoYear1Rate,IF(24&lt;=24,RtoYear2Rate,RtoYear3Rate))</f>
        <v/>
      </c>
      <c r="C34" s="12">
        <f>E33*B34/12</f>
        <v/>
      </c>
      <c r="D34" s="12">
        <f>RtoMonthlyPayment_MaxHomePrice-C34</f>
        <v/>
      </c>
      <c r="E34" s="12">
        <f>E33-D34</f>
        <v/>
      </c>
    </row>
    <row r="35">
      <c r="A35" t="n">
        <v>25</v>
      </c>
      <c r="B35" s="14">
        <f>IF(25&lt;=12,RtoYear1Rate,IF(25&lt;=24,RtoYear2Rate,RtoYear3Rate))</f>
        <v/>
      </c>
      <c r="C35" s="12">
        <f>E34*B35/12</f>
        <v/>
      </c>
      <c r="D35" s="12">
        <f>RtoMonthlyPayment_MaxHomePrice-C35</f>
        <v/>
      </c>
      <c r="E35" s="12">
        <f>E34-D35</f>
        <v/>
      </c>
    </row>
    <row r="36">
      <c r="A36" t="n">
        <v>26</v>
      </c>
      <c r="B36" s="14">
        <f>IF(26&lt;=12,RtoYear1Rate,IF(26&lt;=24,RtoYear2Rate,RtoYear3Rate))</f>
        <v/>
      </c>
      <c r="C36" s="12">
        <f>E35*B36/12</f>
        <v/>
      </c>
      <c r="D36" s="12">
        <f>RtoMonthlyPayment_MaxHomePrice-C36</f>
        <v/>
      </c>
      <c r="E36" s="12">
        <f>E35-D36</f>
        <v/>
      </c>
    </row>
    <row r="37">
      <c r="A37" t="n">
        <v>27</v>
      </c>
      <c r="B37" s="14">
        <f>IF(27&lt;=12,RtoYear1Rate,IF(27&lt;=24,RtoYear2Rate,RtoYear3Rate))</f>
        <v/>
      </c>
      <c r="C37" s="12">
        <f>E36*B37/12</f>
        <v/>
      </c>
      <c r="D37" s="12">
        <f>RtoMonthlyPayment_MaxHomePrice-C37</f>
        <v/>
      </c>
      <c r="E37" s="12">
        <f>E36-D37</f>
        <v/>
      </c>
    </row>
    <row r="38">
      <c r="A38" t="n">
        <v>28</v>
      </c>
      <c r="B38" s="14">
        <f>IF(28&lt;=12,RtoYear1Rate,IF(28&lt;=24,RtoYear2Rate,RtoYear3Rate))</f>
        <v/>
      </c>
      <c r="C38" s="12">
        <f>E37*B38/12</f>
        <v/>
      </c>
      <c r="D38" s="12">
        <f>RtoMonthlyPayment_MaxHomePrice-C38</f>
        <v/>
      </c>
      <c r="E38" s="12">
        <f>E37-D38</f>
        <v/>
      </c>
    </row>
    <row r="39">
      <c r="A39" t="n">
        <v>29</v>
      </c>
      <c r="B39" s="14">
        <f>IF(29&lt;=12,RtoYear1Rate,IF(29&lt;=24,RtoYear2Rate,RtoYear3Rate))</f>
        <v/>
      </c>
      <c r="C39" s="12">
        <f>E38*B39/12</f>
        <v/>
      </c>
      <c r="D39" s="12">
        <f>RtoMonthlyPayment_MaxHomePrice-C39</f>
        <v/>
      </c>
      <c r="E39" s="12">
        <f>E38-D39</f>
        <v/>
      </c>
    </row>
    <row r="40">
      <c r="A40" t="n">
        <v>30</v>
      </c>
      <c r="B40" s="14">
        <f>IF(30&lt;=12,RtoYear1Rate,IF(30&lt;=24,RtoYear2Rate,RtoYear3Rate))</f>
        <v/>
      </c>
      <c r="C40" s="12">
        <f>E39*B40/12</f>
        <v/>
      </c>
      <c r="D40" s="12">
        <f>RtoMonthlyPayment_MaxHomePrice-C40</f>
        <v/>
      </c>
      <c r="E40" s="12">
        <f>E39-D40</f>
        <v/>
      </c>
    </row>
    <row r="41">
      <c r="A41" t="n">
        <v>31</v>
      </c>
      <c r="B41" s="14">
        <f>IF(31&lt;=12,RtoYear1Rate,IF(31&lt;=24,RtoYear2Rate,RtoYear3Rate))</f>
        <v/>
      </c>
      <c r="C41" s="12">
        <f>E40*B41/12</f>
        <v/>
      </c>
      <c r="D41" s="12">
        <f>RtoMonthlyPayment_MaxHomePrice-C41</f>
        <v/>
      </c>
      <c r="E41" s="12">
        <f>E40-D41</f>
        <v/>
      </c>
    </row>
    <row r="42">
      <c r="A42" t="n">
        <v>32</v>
      </c>
      <c r="B42" s="14">
        <f>IF(32&lt;=12,RtoYear1Rate,IF(32&lt;=24,RtoYear2Rate,RtoYear3Rate))</f>
        <v/>
      </c>
      <c r="C42" s="12">
        <f>E41*B42/12</f>
        <v/>
      </c>
      <c r="D42" s="12">
        <f>RtoMonthlyPayment_MaxHomePrice-C42</f>
        <v/>
      </c>
      <c r="E42" s="12">
        <f>E41-D42</f>
        <v/>
      </c>
    </row>
    <row r="43">
      <c r="A43" t="n">
        <v>33</v>
      </c>
      <c r="B43" s="14">
        <f>IF(33&lt;=12,RtoYear1Rate,IF(33&lt;=24,RtoYear2Rate,RtoYear3Rate))</f>
        <v/>
      </c>
      <c r="C43" s="12">
        <f>E42*B43/12</f>
        <v/>
      </c>
      <c r="D43" s="12">
        <f>RtoMonthlyPayment_MaxHomePrice-C43</f>
        <v/>
      </c>
      <c r="E43" s="12">
        <f>E42-D43</f>
        <v/>
      </c>
    </row>
    <row r="44">
      <c r="A44" t="n">
        <v>34</v>
      </c>
      <c r="B44" s="14">
        <f>IF(34&lt;=12,RtoYear1Rate,IF(34&lt;=24,RtoYear2Rate,RtoYear3Rate))</f>
        <v/>
      </c>
      <c r="C44" s="12">
        <f>E43*B44/12</f>
        <v/>
      </c>
      <c r="D44" s="12">
        <f>RtoMonthlyPayment_MaxHomePrice-C44</f>
        <v/>
      </c>
      <c r="E44" s="12">
        <f>E43-D44</f>
        <v/>
      </c>
    </row>
    <row r="45">
      <c r="A45" t="n">
        <v>35</v>
      </c>
      <c r="B45" s="14">
        <f>IF(35&lt;=12,RtoYear1Rate,IF(35&lt;=24,RtoYear2Rate,RtoYear3Rate))</f>
        <v/>
      </c>
      <c r="C45" s="12">
        <f>E44*B45/12</f>
        <v/>
      </c>
      <c r="D45" s="12">
        <f>RtoMonthlyPayment_MaxHomePrice-C45</f>
        <v/>
      </c>
      <c r="E45" s="12">
        <f>E44-D45</f>
        <v/>
      </c>
    </row>
    <row r="46">
      <c r="A46" t="n">
        <v>36</v>
      </c>
      <c r="B46" s="14">
        <f>IF(36&lt;=12,RtoYear1Rate,IF(36&lt;=24,RtoYear2Rate,RtoYear3Rate))</f>
        <v/>
      </c>
      <c r="C46" s="12">
        <f>E45*B46/12</f>
        <v/>
      </c>
      <c r="D46" s="12">
        <f>RtoMonthlyPayment_MaxHomePrice-C46</f>
        <v/>
      </c>
      <c r="E46" s="12">
        <f>E45-D46</f>
        <v/>
      </c>
    </row>
    <row r="48">
      <c r="A48" s="5" t="inlineStr">
        <is>
          <t>Paid Toward Price After 3 Years</t>
        </is>
      </c>
      <c r="B48" s="12">
        <f>MAX(0,RtoPrice_MaxHomePrice-E46)</f>
        <v/>
      </c>
      <c r="C48" s="8" t="inlineStr">
        <is>
          <t>"Capital value (3-year milestone)" figure the app no longer shows directly (superseded by the Year-10 projection below) but which still drives nothing else — kept here for full transcription fidelity.</t>
        </is>
      </c>
    </row>
    <row r="49">
      <c r="A49" s="5" t="inlineStr">
        <is>
          <t>Projected Home Value @ Year 10 (= Capital Value, RTO)</t>
        </is>
      </c>
      <c r="B49" s="12">
        <f>HomeValueYear10_MaxHomePrice</f>
        <v/>
      </c>
      <c r="C49" s="8" t="inlineStr">
        <is>
          <t>IDENTICAL to Buy's own Year-10 home value at this basis (Sheet 7) — RTO's markup is an acquisition cost, never inflates market value.</t>
        </is>
      </c>
    </row>
    <row r="50">
      <c r="A50" s="34" t="inlineStr">
        <is>
          <t>Remaining Principal After 3 Years</t>
        </is>
      </c>
      <c r="B50" s="34">
        <f>MAX(0,RtoPrice_MaxHomePrice-RtoPaidTowardPrice_MaxHomePrice)</f>
        <v/>
      </c>
      <c r="C50" s="27" t="inlineStr">
        <is>
          <t>What's left of the RTO contract price (NOT the original home price — the RTO markup is a real cost the household committed to) once the 3-year RTO contract's own amortization has credited what it credits. This is the principal the household finances as a normal mortgage starting Year 4.</t>
        </is>
      </c>
    </row>
    <row r="51">
      <c r="A51" s="34" t="inlineStr">
        <is>
          <t>Post-Transition Monthly Payment (Years 4-10)</t>
        </is>
      </c>
      <c r="B51" s="34">
        <f>IF(BuyLoanFactor&gt;0,RtoRemainingPrincipal_MaxHomePrice/BuyLoanFactor,0)</f>
        <v/>
      </c>
      <c r="C51" s="27" t="inlineStr">
        <is>
          <t>A standard mortgage on Remaining Principal After 3 Years, using the SAME financing assumption as Buy (BuyLoanFactor: BuyLoanTenureYears=30yr at AnnualInterestRate) — a fresh 30-year mortgage starting at the end of Year 3, not 27 years remaining from an implicit original loan (there was no mortgage before Year 4 — RTO Years 1-3 are contract payments, not mortgage amortization). Replaces Monthly RTO Payment (row 7) for Years 4-10 — RTO has two distinct payment phases, not one flat payment for all 10 years.</t>
        </is>
      </c>
    </row>
    <row r="52">
      <c r="A52" s="34" t="inlineStr">
        <is>
          <t>Total Paid Over 10 Years (RTO)</t>
        </is>
      </c>
      <c r="B52" s="34">
        <f>RtoContractFee_MaxHomePrice+RtoMonthlyPayment_MaxHomePrice*(RtoPeriodYears*12)+RtoPostTransitionMonthly_MaxHomePrice*(120-RtoPeriodYears*12)</f>
        <v/>
      </c>
      <c r="C52" s="27" t="inlineStr">
        <is>
          <t>Contract fee + 3 years of Monthly RTO Payment + 7 years of Post-Transition Monthly Payment. Deliberately NOT Monthly RTO Payment * 120 + Contract Fee (the old flat-RTO-for-10-years assumption) — the original RTO rate never continues past the 3-year contract; see Sheet 9a/9b row 11, which reads this figure directly.</t>
        </is>
      </c>
    </row>
  </sheetData>
  <mergeCells count="5">
    <mergeCell ref="C49:G49"/>
    <mergeCell ref="C7:G7"/>
    <mergeCell ref="A1:F1"/>
    <mergeCell ref="A3:F3"/>
    <mergeCell ref="C48:G4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Rent-to-Own — calculateRentToOwn, basis = TargetHomePrice</t>
        </is>
      </c>
    </row>
    <row r="3" ht="28" customHeight="1">
      <c r="A3" s="33" t="inlineStr">
        <is>
          <t>Reproduces RTO-Payment.xlsx's formulas verbatim for Years 1-3 (see CalculationAssumptions' rto* fields), then models the actual pathway: at the end of Year 3 the household transitions to a normal mortgage on whatever the RTO contract hasn't already credited toward the price (rows 50-52) — RTO is a 3-year pathway TO ownership, not a flat payment that somehow continues for all 10 years.</t>
        </is>
      </c>
    </row>
    <row r="5">
      <c r="A5" s="5" t="inlineStr">
        <is>
          <t>RTO Contract Price</t>
        </is>
      </c>
      <c r="B5" s="12">
        <f>TargetHomePrice*(1+RtoPriceMarkupRate)</f>
        <v/>
      </c>
    </row>
    <row r="6">
      <c r="A6" s="5" t="inlineStr">
        <is>
          <t>Contract Fee (one-time, due at signing)</t>
        </is>
      </c>
      <c r="B6" s="12">
        <f>TargetHomePrice*RtoContractFeeRate</f>
        <v/>
      </c>
    </row>
    <row r="7">
      <c r="A7" s="5" t="inlineStr">
        <is>
          <t>Monthly RTO Payment</t>
        </is>
      </c>
      <c r="B7" s="12">
        <f>(RtoPrice_TargetHomePrice/1000000)*RtoPaymentPerMillion</f>
        <v/>
      </c>
      <c r="C7" s="8" t="inlineStr">
        <is>
          <t>This scenario's "Monthly payment" figure in the comparison grid.</t>
        </is>
      </c>
    </row>
    <row r="9">
      <c r="A9" s="17" t="inlineStr">
        <is>
          <t>36-month amortization (imputed interest steps up 1%/yr) — reproduces the sheet's own "After 3 Year" milestone</t>
        </is>
      </c>
    </row>
    <row r="10">
      <c r="A10" s="5" t="inlineStr">
        <is>
          <t>Month</t>
        </is>
      </c>
      <c r="B10" s="5" t="inlineStr">
        <is>
          <t>Imputed Rate (annual)</t>
        </is>
      </c>
      <c r="C10" s="5" t="inlineStr">
        <is>
          <t>Interest</t>
        </is>
      </c>
      <c r="D10" s="5" t="inlineStr">
        <is>
          <t>Principal</t>
        </is>
      </c>
      <c r="E10" s="5" t="inlineStr">
        <is>
          <t>Remaining Balance</t>
        </is>
      </c>
    </row>
    <row r="11">
      <c r="A11" t="n">
        <v>1</v>
      </c>
      <c r="B11" s="14">
        <f>IF(1&lt;=12,RtoYear1Rate,IF(1&lt;=24,RtoYear2Rate,RtoYear3Rate))</f>
        <v/>
      </c>
      <c r="C11" s="12">
        <f>RtoPrice_TargetHomePrice*B11/12</f>
        <v/>
      </c>
      <c r="D11" s="12">
        <f>RtoMonthlyPayment_TargetHomePrice-C11</f>
        <v/>
      </c>
      <c r="E11" s="12">
        <f>RtoPrice_TargetHomePrice-D11</f>
        <v/>
      </c>
    </row>
    <row r="12">
      <c r="A12" t="n">
        <v>2</v>
      </c>
      <c r="B12" s="14">
        <f>IF(2&lt;=12,RtoYear1Rate,IF(2&lt;=24,RtoYear2Rate,RtoYear3Rate))</f>
        <v/>
      </c>
      <c r="C12" s="12">
        <f>E11*B12/12</f>
        <v/>
      </c>
      <c r="D12" s="12">
        <f>RtoMonthlyPayment_TargetHomePrice-C12</f>
        <v/>
      </c>
      <c r="E12" s="12">
        <f>E11-D12</f>
        <v/>
      </c>
    </row>
    <row r="13">
      <c r="A13" t="n">
        <v>3</v>
      </c>
      <c r="B13" s="14">
        <f>IF(3&lt;=12,RtoYear1Rate,IF(3&lt;=24,RtoYear2Rate,RtoYear3Rate))</f>
        <v/>
      </c>
      <c r="C13" s="12">
        <f>E12*B13/12</f>
        <v/>
      </c>
      <c r="D13" s="12">
        <f>RtoMonthlyPayment_TargetHomePrice-C13</f>
        <v/>
      </c>
      <c r="E13" s="12">
        <f>E12-D13</f>
        <v/>
      </c>
    </row>
    <row r="14">
      <c r="A14" t="n">
        <v>4</v>
      </c>
      <c r="B14" s="14">
        <f>IF(4&lt;=12,RtoYear1Rate,IF(4&lt;=24,RtoYear2Rate,RtoYear3Rate))</f>
        <v/>
      </c>
      <c r="C14" s="12">
        <f>E13*B14/12</f>
        <v/>
      </c>
      <c r="D14" s="12">
        <f>RtoMonthlyPayment_TargetHomePrice-C14</f>
        <v/>
      </c>
      <c r="E14" s="12">
        <f>E13-D14</f>
        <v/>
      </c>
    </row>
    <row r="15">
      <c r="A15" t="n">
        <v>5</v>
      </c>
      <c r="B15" s="14">
        <f>IF(5&lt;=12,RtoYear1Rate,IF(5&lt;=24,RtoYear2Rate,RtoYear3Rate))</f>
        <v/>
      </c>
      <c r="C15" s="12">
        <f>E14*B15/12</f>
        <v/>
      </c>
      <c r="D15" s="12">
        <f>RtoMonthlyPayment_TargetHomePrice-C15</f>
        <v/>
      </c>
      <c r="E15" s="12">
        <f>E14-D15</f>
        <v/>
      </c>
    </row>
    <row r="16">
      <c r="A16" t="n">
        <v>6</v>
      </c>
      <c r="B16" s="14">
        <f>IF(6&lt;=12,RtoYear1Rate,IF(6&lt;=24,RtoYear2Rate,RtoYear3Rate))</f>
        <v/>
      </c>
      <c r="C16" s="12">
        <f>E15*B16/12</f>
        <v/>
      </c>
      <c r="D16" s="12">
        <f>RtoMonthlyPayment_TargetHomePrice-C16</f>
        <v/>
      </c>
      <c r="E16" s="12">
        <f>E15-D16</f>
        <v/>
      </c>
    </row>
    <row r="17">
      <c r="A17" t="n">
        <v>7</v>
      </c>
      <c r="B17" s="14">
        <f>IF(7&lt;=12,RtoYear1Rate,IF(7&lt;=24,RtoYear2Rate,RtoYear3Rate))</f>
        <v/>
      </c>
      <c r="C17" s="12">
        <f>E16*B17/12</f>
        <v/>
      </c>
      <c r="D17" s="12">
        <f>RtoMonthlyPayment_TargetHomePrice-C17</f>
        <v/>
      </c>
      <c r="E17" s="12">
        <f>E16-D17</f>
        <v/>
      </c>
    </row>
    <row r="18">
      <c r="A18" t="n">
        <v>8</v>
      </c>
      <c r="B18" s="14">
        <f>IF(8&lt;=12,RtoYear1Rate,IF(8&lt;=24,RtoYear2Rate,RtoYear3Rate))</f>
        <v/>
      </c>
      <c r="C18" s="12">
        <f>E17*B18/12</f>
        <v/>
      </c>
      <c r="D18" s="12">
        <f>RtoMonthlyPayment_TargetHomePrice-C18</f>
        <v/>
      </c>
      <c r="E18" s="12">
        <f>E17-D18</f>
        <v/>
      </c>
    </row>
    <row r="19">
      <c r="A19" t="n">
        <v>9</v>
      </c>
      <c r="B19" s="14">
        <f>IF(9&lt;=12,RtoYear1Rate,IF(9&lt;=24,RtoYear2Rate,RtoYear3Rate))</f>
        <v/>
      </c>
      <c r="C19" s="12">
        <f>E18*B19/12</f>
        <v/>
      </c>
      <c r="D19" s="12">
        <f>RtoMonthlyPayment_TargetHomePrice-C19</f>
        <v/>
      </c>
      <c r="E19" s="12">
        <f>E18-D19</f>
        <v/>
      </c>
    </row>
    <row r="20">
      <c r="A20" t="n">
        <v>10</v>
      </c>
      <c r="B20" s="14">
        <f>IF(10&lt;=12,RtoYear1Rate,IF(10&lt;=24,RtoYear2Rate,RtoYear3Rate))</f>
        <v/>
      </c>
      <c r="C20" s="12">
        <f>E19*B20/12</f>
        <v/>
      </c>
      <c r="D20" s="12">
        <f>RtoMonthlyPayment_TargetHomePrice-C20</f>
        <v/>
      </c>
      <c r="E20" s="12">
        <f>E19-D20</f>
        <v/>
      </c>
    </row>
    <row r="21">
      <c r="A21" t="n">
        <v>11</v>
      </c>
      <c r="B21" s="14">
        <f>IF(11&lt;=12,RtoYear1Rate,IF(11&lt;=24,RtoYear2Rate,RtoYear3Rate))</f>
        <v/>
      </c>
      <c r="C21" s="12">
        <f>E20*B21/12</f>
        <v/>
      </c>
      <c r="D21" s="12">
        <f>RtoMonthlyPayment_TargetHomePrice-C21</f>
        <v/>
      </c>
      <c r="E21" s="12">
        <f>E20-D21</f>
        <v/>
      </c>
    </row>
    <row r="22">
      <c r="A22" t="n">
        <v>12</v>
      </c>
      <c r="B22" s="14">
        <f>IF(12&lt;=12,RtoYear1Rate,IF(12&lt;=24,RtoYear2Rate,RtoYear3Rate))</f>
        <v/>
      </c>
      <c r="C22" s="12">
        <f>E21*B22/12</f>
        <v/>
      </c>
      <c r="D22" s="12">
        <f>RtoMonthlyPayment_TargetHomePrice-C22</f>
        <v/>
      </c>
      <c r="E22" s="12">
        <f>E21-D22</f>
        <v/>
      </c>
    </row>
    <row r="23">
      <c r="A23" t="n">
        <v>13</v>
      </c>
      <c r="B23" s="14">
        <f>IF(13&lt;=12,RtoYear1Rate,IF(13&lt;=24,RtoYear2Rate,RtoYear3Rate))</f>
        <v/>
      </c>
      <c r="C23" s="12">
        <f>E22*B23/12</f>
        <v/>
      </c>
      <c r="D23" s="12">
        <f>RtoMonthlyPayment_TargetHomePrice-C23</f>
        <v/>
      </c>
      <c r="E23" s="12">
        <f>E22-D23</f>
        <v/>
      </c>
    </row>
    <row r="24">
      <c r="A24" t="n">
        <v>14</v>
      </c>
      <c r="B24" s="14">
        <f>IF(14&lt;=12,RtoYear1Rate,IF(14&lt;=24,RtoYear2Rate,RtoYear3Rate))</f>
        <v/>
      </c>
      <c r="C24" s="12">
        <f>E23*B24/12</f>
        <v/>
      </c>
      <c r="D24" s="12">
        <f>RtoMonthlyPayment_TargetHomePrice-C24</f>
        <v/>
      </c>
      <c r="E24" s="12">
        <f>E23-D24</f>
        <v/>
      </c>
    </row>
    <row r="25">
      <c r="A25" t="n">
        <v>15</v>
      </c>
      <c r="B25" s="14">
        <f>IF(15&lt;=12,RtoYear1Rate,IF(15&lt;=24,RtoYear2Rate,RtoYear3Rate))</f>
        <v/>
      </c>
      <c r="C25" s="12">
        <f>E24*B25/12</f>
        <v/>
      </c>
      <c r="D25" s="12">
        <f>RtoMonthlyPayment_TargetHomePrice-C25</f>
        <v/>
      </c>
      <c r="E25" s="12">
        <f>E24-D25</f>
        <v/>
      </c>
    </row>
    <row r="26">
      <c r="A26" t="n">
        <v>16</v>
      </c>
      <c r="B26" s="14">
        <f>IF(16&lt;=12,RtoYear1Rate,IF(16&lt;=24,RtoYear2Rate,RtoYear3Rate))</f>
        <v/>
      </c>
      <c r="C26" s="12">
        <f>E25*B26/12</f>
        <v/>
      </c>
      <c r="D26" s="12">
        <f>RtoMonthlyPayment_TargetHomePrice-C26</f>
        <v/>
      </c>
      <c r="E26" s="12">
        <f>E25-D26</f>
        <v/>
      </c>
    </row>
    <row r="27">
      <c r="A27" t="n">
        <v>17</v>
      </c>
      <c r="B27" s="14">
        <f>IF(17&lt;=12,RtoYear1Rate,IF(17&lt;=24,RtoYear2Rate,RtoYear3Rate))</f>
        <v/>
      </c>
      <c r="C27" s="12">
        <f>E26*B27/12</f>
        <v/>
      </c>
      <c r="D27" s="12">
        <f>RtoMonthlyPayment_TargetHomePrice-C27</f>
        <v/>
      </c>
      <c r="E27" s="12">
        <f>E26-D27</f>
        <v/>
      </c>
    </row>
    <row r="28">
      <c r="A28" t="n">
        <v>18</v>
      </c>
      <c r="B28" s="14">
        <f>IF(18&lt;=12,RtoYear1Rate,IF(18&lt;=24,RtoYear2Rate,RtoYear3Rate))</f>
        <v/>
      </c>
      <c r="C28" s="12">
        <f>E27*B28/12</f>
        <v/>
      </c>
      <c r="D28" s="12">
        <f>RtoMonthlyPayment_TargetHomePrice-C28</f>
        <v/>
      </c>
      <c r="E28" s="12">
        <f>E27-D28</f>
        <v/>
      </c>
    </row>
    <row r="29">
      <c r="A29" t="n">
        <v>19</v>
      </c>
      <c r="B29" s="14">
        <f>IF(19&lt;=12,RtoYear1Rate,IF(19&lt;=24,RtoYear2Rate,RtoYear3Rate))</f>
        <v/>
      </c>
      <c r="C29" s="12">
        <f>E28*B29/12</f>
        <v/>
      </c>
      <c r="D29" s="12">
        <f>RtoMonthlyPayment_TargetHomePrice-C29</f>
        <v/>
      </c>
      <c r="E29" s="12">
        <f>E28-D29</f>
        <v/>
      </c>
    </row>
    <row r="30">
      <c r="A30" t="n">
        <v>20</v>
      </c>
      <c r="B30" s="14">
        <f>IF(20&lt;=12,RtoYear1Rate,IF(20&lt;=24,RtoYear2Rate,RtoYear3Rate))</f>
        <v/>
      </c>
      <c r="C30" s="12">
        <f>E29*B30/12</f>
        <v/>
      </c>
      <c r="D30" s="12">
        <f>RtoMonthlyPayment_TargetHomePrice-C30</f>
        <v/>
      </c>
      <c r="E30" s="12">
        <f>E29-D30</f>
        <v/>
      </c>
    </row>
    <row r="31">
      <c r="A31" t="n">
        <v>21</v>
      </c>
      <c r="B31" s="14">
        <f>IF(21&lt;=12,RtoYear1Rate,IF(21&lt;=24,RtoYear2Rate,RtoYear3Rate))</f>
        <v/>
      </c>
      <c r="C31" s="12">
        <f>E30*B31/12</f>
        <v/>
      </c>
      <c r="D31" s="12">
        <f>RtoMonthlyPayment_TargetHomePrice-C31</f>
        <v/>
      </c>
      <c r="E31" s="12">
        <f>E30-D31</f>
        <v/>
      </c>
    </row>
    <row r="32">
      <c r="A32" t="n">
        <v>22</v>
      </c>
      <c r="B32" s="14">
        <f>IF(22&lt;=12,RtoYear1Rate,IF(22&lt;=24,RtoYear2Rate,RtoYear3Rate))</f>
        <v/>
      </c>
      <c r="C32" s="12">
        <f>E31*B32/12</f>
        <v/>
      </c>
      <c r="D32" s="12">
        <f>RtoMonthlyPayment_TargetHomePrice-C32</f>
        <v/>
      </c>
      <c r="E32" s="12">
        <f>E31-D32</f>
        <v/>
      </c>
    </row>
    <row r="33">
      <c r="A33" t="n">
        <v>23</v>
      </c>
      <c r="B33" s="14">
        <f>IF(23&lt;=12,RtoYear1Rate,IF(23&lt;=24,RtoYear2Rate,RtoYear3Rate))</f>
        <v/>
      </c>
      <c r="C33" s="12">
        <f>E32*B33/12</f>
        <v/>
      </c>
      <c r="D33" s="12">
        <f>RtoMonthlyPayment_TargetHomePrice-C33</f>
        <v/>
      </c>
      <c r="E33" s="12">
        <f>E32-D33</f>
        <v/>
      </c>
    </row>
    <row r="34">
      <c r="A34" t="n">
        <v>24</v>
      </c>
      <c r="B34" s="14">
        <f>IF(24&lt;=12,RtoYear1Rate,IF(24&lt;=24,RtoYear2Rate,RtoYear3Rate))</f>
        <v/>
      </c>
      <c r="C34" s="12">
        <f>E33*B34/12</f>
        <v/>
      </c>
      <c r="D34" s="12">
        <f>RtoMonthlyPayment_TargetHomePrice-C34</f>
        <v/>
      </c>
      <c r="E34" s="12">
        <f>E33-D34</f>
        <v/>
      </c>
    </row>
    <row r="35">
      <c r="A35" t="n">
        <v>25</v>
      </c>
      <c r="B35" s="14">
        <f>IF(25&lt;=12,RtoYear1Rate,IF(25&lt;=24,RtoYear2Rate,RtoYear3Rate))</f>
        <v/>
      </c>
      <c r="C35" s="12">
        <f>E34*B35/12</f>
        <v/>
      </c>
      <c r="D35" s="12">
        <f>RtoMonthlyPayment_TargetHomePrice-C35</f>
        <v/>
      </c>
      <c r="E35" s="12">
        <f>E34-D35</f>
        <v/>
      </c>
    </row>
    <row r="36">
      <c r="A36" t="n">
        <v>26</v>
      </c>
      <c r="B36" s="14">
        <f>IF(26&lt;=12,RtoYear1Rate,IF(26&lt;=24,RtoYear2Rate,RtoYear3Rate))</f>
        <v/>
      </c>
      <c r="C36" s="12">
        <f>E35*B36/12</f>
        <v/>
      </c>
      <c r="D36" s="12">
        <f>RtoMonthlyPayment_TargetHomePrice-C36</f>
        <v/>
      </c>
      <c r="E36" s="12">
        <f>E35-D36</f>
        <v/>
      </c>
    </row>
    <row r="37">
      <c r="A37" t="n">
        <v>27</v>
      </c>
      <c r="B37" s="14">
        <f>IF(27&lt;=12,RtoYear1Rate,IF(27&lt;=24,RtoYear2Rate,RtoYear3Rate))</f>
        <v/>
      </c>
      <c r="C37" s="12">
        <f>E36*B37/12</f>
        <v/>
      </c>
      <c r="D37" s="12">
        <f>RtoMonthlyPayment_TargetHomePrice-C37</f>
        <v/>
      </c>
      <c r="E37" s="12">
        <f>E36-D37</f>
        <v/>
      </c>
    </row>
    <row r="38">
      <c r="A38" t="n">
        <v>28</v>
      </c>
      <c r="B38" s="14">
        <f>IF(28&lt;=12,RtoYear1Rate,IF(28&lt;=24,RtoYear2Rate,RtoYear3Rate))</f>
        <v/>
      </c>
      <c r="C38" s="12">
        <f>E37*B38/12</f>
        <v/>
      </c>
      <c r="D38" s="12">
        <f>RtoMonthlyPayment_TargetHomePrice-C38</f>
        <v/>
      </c>
      <c r="E38" s="12">
        <f>E37-D38</f>
        <v/>
      </c>
    </row>
    <row r="39">
      <c r="A39" t="n">
        <v>29</v>
      </c>
      <c r="B39" s="14">
        <f>IF(29&lt;=12,RtoYear1Rate,IF(29&lt;=24,RtoYear2Rate,RtoYear3Rate))</f>
        <v/>
      </c>
      <c r="C39" s="12">
        <f>E38*B39/12</f>
        <v/>
      </c>
      <c r="D39" s="12">
        <f>RtoMonthlyPayment_TargetHomePrice-C39</f>
        <v/>
      </c>
      <c r="E39" s="12">
        <f>E38-D39</f>
        <v/>
      </c>
    </row>
    <row r="40">
      <c r="A40" t="n">
        <v>30</v>
      </c>
      <c r="B40" s="14">
        <f>IF(30&lt;=12,RtoYear1Rate,IF(30&lt;=24,RtoYear2Rate,RtoYear3Rate))</f>
        <v/>
      </c>
      <c r="C40" s="12">
        <f>E39*B40/12</f>
        <v/>
      </c>
      <c r="D40" s="12">
        <f>RtoMonthlyPayment_TargetHomePrice-C40</f>
        <v/>
      </c>
      <c r="E40" s="12">
        <f>E39-D40</f>
        <v/>
      </c>
    </row>
    <row r="41">
      <c r="A41" t="n">
        <v>31</v>
      </c>
      <c r="B41" s="14">
        <f>IF(31&lt;=12,RtoYear1Rate,IF(31&lt;=24,RtoYear2Rate,RtoYear3Rate))</f>
        <v/>
      </c>
      <c r="C41" s="12">
        <f>E40*B41/12</f>
        <v/>
      </c>
      <c r="D41" s="12">
        <f>RtoMonthlyPayment_TargetHomePrice-C41</f>
        <v/>
      </c>
      <c r="E41" s="12">
        <f>E40-D41</f>
        <v/>
      </c>
    </row>
    <row r="42">
      <c r="A42" t="n">
        <v>32</v>
      </c>
      <c r="B42" s="14">
        <f>IF(32&lt;=12,RtoYear1Rate,IF(32&lt;=24,RtoYear2Rate,RtoYear3Rate))</f>
        <v/>
      </c>
      <c r="C42" s="12">
        <f>E41*B42/12</f>
        <v/>
      </c>
      <c r="D42" s="12">
        <f>RtoMonthlyPayment_TargetHomePrice-C42</f>
        <v/>
      </c>
      <c r="E42" s="12">
        <f>E41-D42</f>
        <v/>
      </c>
    </row>
    <row r="43">
      <c r="A43" t="n">
        <v>33</v>
      </c>
      <c r="B43" s="14">
        <f>IF(33&lt;=12,RtoYear1Rate,IF(33&lt;=24,RtoYear2Rate,RtoYear3Rate))</f>
        <v/>
      </c>
      <c r="C43" s="12">
        <f>E42*B43/12</f>
        <v/>
      </c>
      <c r="D43" s="12">
        <f>RtoMonthlyPayment_TargetHomePrice-C43</f>
        <v/>
      </c>
      <c r="E43" s="12">
        <f>E42-D43</f>
        <v/>
      </c>
    </row>
    <row r="44">
      <c r="A44" t="n">
        <v>34</v>
      </c>
      <c r="B44" s="14">
        <f>IF(34&lt;=12,RtoYear1Rate,IF(34&lt;=24,RtoYear2Rate,RtoYear3Rate))</f>
        <v/>
      </c>
      <c r="C44" s="12">
        <f>E43*B44/12</f>
        <v/>
      </c>
      <c r="D44" s="12">
        <f>RtoMonthlyPayment_TargetHomePrice-C44</f>
        <v/>
      </c>
      <c r="E44" s="12">
        <f>E43-D44</f>
        <v/>
      </c>
    </row>
    <row r="45">
      <c r="A45" t="n">
        <v>35</v>
      </c>
      <c r="B45" s="14">
        <f>IF(35&lt;=12,RtoYear1Rate,IF(35&lt;=24,RtoYear2Rate,RtoYear3Rate))</f>
        <v/>
      </c>
      <c r="C45" s="12">
        <f>E44*B45/12</f>
        <v/>
      </c>
      <c r="D45" s="12">
        <f>RtoMonthlyPayment_TargetHomePrice-C45</f>
        <v/>
      </c>
      <c r="E45" s="12">
        <f>E44-D45</f>
        <v/>
      </c>
    </row>
    <row r="46">
      <c r="A46" t="n">
        <v>36</v>
      </c>
      <c r="B46" s="14">
        <f>IF(36&lt;=12,RtoYear1Rate,IF(36&lt;=24,RtoYear2Rate,RtoYear3Rate))</f>
        <v/>
      </c>
      <c r="C46" s="12">
        <f>E45*B46/12</f>
        <v/>
      </c>
      <c r="D46" s="12">
        <f>RtoMonthlyPayment_TargetHomePrice-C46</f>
        <v/>
      </c>
      <c r="E46" s="12">
        <f>E45-D46</f>
        <v/>
      </c>
    </row>
    <row r="48">
      <c r="A48" s="5" t="inlineStr">
        <is>
          <t>Paid Toward Price After 3 Years</t>
        </is>
      </c>
      <c r="B48" s="12">
        <f>MAX(0,RtoPrice_TargetHomePrice-E46)</f>
        <v/>
      </c>
      <c r="C48" s="8" t="inlineStr">
        <is>
          <t>"Capital value (3-year milestone)" figure the app no longer shows directly (superseded by the Year-10 projection below) but which still drives nothing else — kept here for full transcription fidelity.</t>
        </is>
      </c>
    </row>
    <row r="49">
      <c r="A49" s="5" t="inlineStr">
        <is>
          <t>Projected Home Value @ Year 10 (= Capital Value, RTO)</t>
        </is>
      </c>
      <c r="B49" s="12">
        <f>HomeValueYear10_TargetHomePrice</f>
        <v/>
      </c>
      <c r="C49" s="8" t="inlineStr">
        <is>
          <t>IDENTICAL to Buy's own Year-10 home value at this basis (Sheet 7) — RTO's markup is an acquisition cost, never inflates market value.</t>
        </is>
      </c>
    </row>
    <row r="50">
      <c r="A50" s="34" t="inlineStr">
        <is>
          <t>Remaining Principal After 3 Years</t>
        </is>
      </c>
      <c r="B50" s="34">
        <f>MAX(0,RtoPrice_TargetHomePrice-RtoPaidTowardPrice_TargetHomePrice)</f>
        <v/>
      </c>
      <c r="C50" s="27" t="inlineStr">
        <is>
          <t>What's left of the RTO contract price (NOT the original home price — the RTO markup is a real cost the household committed to) once the 3-year RTO contract's own amortization has credited what it credits. This is the principal the household finances as a normal mortgage starting Year 4.</t>
        </is>
      </c>
    </row>
    <row r="51">
      <c r="A51" s="34" t="inlineStr">
        <is>
          <t>Post-Transition Monthly Payment (Years 4-10)</t>
        </is>
      </c>
      <c r="B51" s="34">
        <f>IF(BuyLoanFactor&gt;0,RtoRemainingPrincipal_TargetHomePrice/BuyLoanFactor,0)</f>
        <v/>
      </c>
      <c r="C51" s="27" t="inlineStr">
        <is>
          <t>A standard mortgage on Remaining Principal After 3 Years, using the SAME financing assumption as Buy (BuyLoanFactor: BuyLoanTenureYears=30yr at AnnualInterestRate) — a fresh 30-year mortgage starting at the end of Year 3, not 27 years remaining from an implicit original loan (there was no mortgage before Year 4 — RTO Years 1-3 are contract payments, not mortgage amortization). Replaces Monthly RTO Payment (row 7) for Years 4-10 — RTO has two distinct payment phases, not one flat payment for all 10 years.</t>
        </is>
      </c>
    </row>
    <row r="52">
      <c r="A52" s="34" t="inlineStr">
        <is>
          <t>Total Paid Over 10 Years (RTO)</t>
        </is>
      </c>
      <c r="B52" s="34">
        <f>RtoContractFee_TargetHomePrice+RtoMonthlyPayment_TargetHomePrice*(RtoPeriodYears*12)+RtoPostTransitionMonthly_TargetHomePrice*(120-RtoPeriodYears*12)</f>
        <v/>
      </c>
      <c r="C52" s="27" t="inlineStr">
        <is>
          <t>Contract fee + 3 years of Monthly RTO Payment + 7 years of Post-Transition Monthly Payment. Deliberately NOT Monthly RTO Payment * 120 + Contract Fee (the old flat-RTO-for-10-years assumption) — the original RTO rate never continues past the 3-year contract; see Sheet 9a/9b row 11, which reads this figure directly.</t>
        </is>
      </c>
    </row>
  </sheetData>
  <mergeCells count="5">
    <mergeCell ref="C49:G49"/>
    <mergeCell ref="C7:G7"/>
    <mergeCell ref="A1:F1"/>
    <mergeCell ref="A3:F3"/>
    <mergeCell ref="C48:G4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Cash Flow Comparison — calculateBuyVsRentCashFlow, basis = MaxHomePrice</t>
        </is>
      </c>
    </row>
    <row r="3" ht="42" customHeight="1">
      <c r="A3" s="33" t="inlineStr">
        <is>
          <t>"Remaining Monthly Income" = Income After Other Obligations (Sheet 3) minus THIS option's own monthly housing payment — bonus excluded, debt/living-expenses/lump-sum already excluded upstream in Sheet 3. Row 11 (Total Paid Over 10 Years): Rent reads Sheet 7's own growing cumulative total (not a flat multiply — rent grows with property appreciation); RTO reads Sheet 8's Total Paid Over 10 Years (RTO), which itself splits into 3 years of RTO payments + 7 years of a post-transition mortgage — never a flat monthly payment for all 10 years. Buy alone stays a flat multiply (a mortgage installment genuinely is fixed for its whole term). Row 13 (Net Cash Flow over 10 Years) is Capital Value minus Total Paid (calculateNetCashFlow10Years) — Rent's Capital Value counts as ฿0 since it never accumulates, so Rent's Net Cash Flow is simply its Total Paid, negated.</t>
        </is>
      </c>
    </row>
    <row r="5">
      <c r="A5" s="5" t="inlineStr"/>
      <c r="B5" s="5" t="inlineStr">
        <is>
          <t>Rent</t>
        </is>
      </c>
      <c r="C5" s="5" t="inlineStr">
        <is>
          <t>Rent-to-Own</t>
        </is>
      </c>
      <c r="D5" s="5" t="inlineStr">
        <is>
          <t>Buy</t>
        </is>
      </c>
    </row>
    <row r="6">
      <c r="A6" s="5" t="inlineStr">
        <is>
          <t>Monthly Housing Payment</t>
        </is>
      </c>
      <c r="B6" s="12">
        <f>EstMonthlyRent_MaxHomePrice</f>
        <v/>
      </c>
      <c r="C6" s="12">
        <f>RtoMonthlyPayment_MaxHomePrice</f>
        <v/>
      </c>
      <c r="D6" s="12">
        <f>Installment_MaxHomePrice</f>
        <v/>
      </c>
    </row>
    <row r="7">
      <c r="A7" s="5" t="inlineStr">
        <is>
          <t>Remaining Monthly Income</t>
        </is>
      </c>
      <c r="B7" s="12">
        <f>IncomeAfterOtherObligations-B6</f>
        <v/>
      </c>
      <c r="C7" s="12">
        <f>IncomeAfterOtherObligations-C6</f>
        <v/>
      </c>
      <c r="D7" s="12">
        <f>IncomeAfterOtherObligations-D6</f>
        <v/>
      </c>
    </row>
    <row r="8">
      <c r="A8" s="5" t="inlineStr">
        <is>
          <t>Remaining % of Steady Income</t>
        </is>
      </c>
      <c r="B8" s="18">
        <f>IF(SteadyMonthlyIncome&gt;0,B7/SteadyMonthlyIncome*100,0)</f>
        <v/>
      </c>
      <c r="C8" s="18">
        <f>IF(SteadyMonthlyIncome&gt;0,C7/SteadyMonthlyIncome*100,0)</f>
        <v/>
      </c>
      <c r="D8" s="18">
        <f>IF(SteadyMonthlyIncome&gt;0,D7/SteadyMonthlyIncome*100,0)</f>
        <v/>
      </c>
    </row>
    <row r="9">
      <c r="A9" s="5" t="inlineStr">
        <is>
          <t>Cushion Status</t>
        </is>
      </c>
      <c r="B9" s="13">
        <f>IF(B8&gt;=ComfortableThreshold*100,"Comfortable",IF(B8&gt;=TightThreshold*100,"Tight","High Risk"))</f>
        <v/>
      </c>
      <c r="C9" s="13">
        <f>IF(C8&gt;=ComfortableThreshold*100,"Comfortable",IF(C8&gt;=TightThreshold*100,"Tight","High Risk"))</f>
        <v/>
      </c>
      <c r="D9" s="13">
        <f>IF(D8&gt;=ComfortableThreshold*100,"Comfortable",IF(D8&gt;=TightThreshold*100,"Tight","High Risk"))</f>
        <v/>
      </c>
    </row>
    <row r="10">
      <c r="A10" s="5" t="inlineStr">
        <is>
          <t>Initial Payment (one-time)</t>
        </is>
      </c>
      <c r="B10" s="12">
        <f>EstMonthlyRent_MaxHomePrice*2</f>
        <v/>
      </c>
      <c r="C10" s="12">
        <f>RtoContractFee_MaxHomePrice</f>
        <v/>
      </c>
      <c r="D10" s="12">
        <f>MaxHomePrice*DownPaymentRate+MaxHomePrice*TransactionCostRate</f>
        <v/>
      </c>
    </row>
    <row r="11">
      <c r="A11" s="5" t="inlineStr">
        <is>
          <t>Total Paid Over 10 Years</t>
        </is>
      </c>
      <c r="B11" s="32">
        <f>'7a. Wealth — Recommended'!F19</f>
        <v/>
      </c>
      <c r="C11" s="32">
        <f>RtoTotalPaid10Y_MaxHomePrice</f>
        <v/>
      </c>
      <c r="D11" s="12">
        <f>D6*120+D10</f>
        <v/>
      </c>
    </row>
    <row r="12">
      <c r="A12" s="5" t="inlineStr">
        <is>
          <t>Capital Value @ Year 10</t>
        </is>
      </c>
      <c r="B12" t="inlineStr">
        <is>
          <t>No capital value (renting)</t>
        </is>
      </c>
      <c r="C12" s="12">
        <f>RtoHomeValueYear10_MaxHomePrice</f>
        <v/>
      </c>
      <c r="D12" s="12">
        <f>HomeValueYear10_MaxHomePrice</f>
        <v/>
      </c>
    </row>
    <row r="13">
      <c r="A13" s="5" t="inlineStr">
        <is>
          <t>Net Cash Flow over 10 Years</t>
        </is>
      </c>
      <c r="B13" s="32">
        <f>0-B11</f>
        <v/>
      </c>
      <c r="C13" s="32">
        <f>C12-C11</f>
        <v/>
      </c>
      <c r="D13" s="32">
        <f>D12-D11</f>
        <v/>
      </c>
    </row>
    <row r="14" ht="28" customHeight="1"/>
    <row r="15">
      <c r="A15" s="4" t="inlineStr">
        <is>
          <t>Row references used elsewhere: Remaining Monthly Income row = 7, Cushion Status row = 9, Remaining % row = 8, Net Cash Flow row = 13.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Cash Flow Comparison — calculateBuyVsRentCashFlow, basis = TargetHomePrice</t>
        </is>
      </c>
    </row>
    <row r="3" ht="42" customHeight="1">
      <c r="A3" s="33" t="inlineStr">
        <is>
          <t>"Remaining Monthly Income" = Income After Other Obligations (Sheet 3) minus THIS option's own monthly housing payment — bonus excluded, debt/living-expenses/lump-sum already excluded upstream in Sheet 3. Row 11 (Total Paid Over 10 Years): Rent reads Sheet 7's own growing cumulative total (not a flat multiply — rent grows with property appreciation); RTO reads Sheet 8's Total Paid Over 10 Years (RTO), which itself splits into 3 years of RTO payments + 7 years of a post-transition mortgage — never a flat monthly payment for all 10 years. Buy alone stays a flat multiply (a mortgage installment genuinely is fixed for its whole term). Row 13 (Net Cash Flow over 10 Years) is Capital Value minus Total Paid (calculateNetCashFlow10Years) — Rent's Capital Value counts as ฿0 since it never accumulates, so Rent's Net Cash Flow is simply its Total Paid, negated.</t>
        </is>
      </c>
    </row>
    <row r="5">
      <c r="A5" s="5" t="inlineStr"/>
      <c r="B5" s="5" t="inlineStr">
        <is>
          <t>Rent</t>
        </is>
      </c>
      <c r="C5" s="5" t="inlineStr">
        <is>
          <t>Rent-to-Own</t>
        </is>
      </c>
      <c r="D5" s="5" t="inlineStr">
        <is>
          <t>Buy</t>
        </is>
      </c>
    </row>
    <row r="6">
      <c r="A6" s="5" t="inlineStr">
        <is>
          <t>Monthly Housing Payment</t>
        </is>
      </c>
      <c r="B6" s="12">
        <f>EstMonthlyRent_TargetHomePrice</f>
        <v/>
      </c>
      <c r="C6" s="12">
        <f>RtoMonthlyPayment_TargetHomePrice</f>
        <v/>
      </c>
      <c r="D6" s="12">
        <f>Installment_TargetHomePrice</f>
        <v/>
      </c>
    </row>
    <row r="7">
      <c r="A7" s="5" t="inlineStr">
        <is>
          <t>Remaining Monthly Income</t>
        </is>
      </c>
      <c r="B7" s="12">
        <f>IncomeAfterOtherObligations-B6</f>
        <v/>
      </c>
      <c r="C7" s="12">
        <f>IncomeAfterOtherObligations-C6</f>
        <v/>
      </c>
      <c r="D7" s="12">
        <f>IncomeAfterOtherObligations-D6</f>
        <v/>
      </c>
    </row>
    <row r="8">
      <c r="A8" s="5" t="inlineStr">
        <is>
          <t>Remaining % of Steady Income</t>
        </is>
      </c>
      <c r="B8" s="18">
        <f>IF(SteadyMonthlyIncome&gt;0,B7/SteadyMonthlyIncome*100,0)</f>
        <v/>
      </c>
      <c r="C8" s="18">
        <f>IF(SteadyMonthlyIncome&gt;0,C7/SteadyMonthlyIncome*100,0)</f>
        <v/>
      </c>
      <c r="D8" s="18">
        <f>IF(SteadyMonthlyIncome&gt;0,D7/SteadyMonthlyIncome*100,0)</f>
        <v/>
      </c>
    </row>
    <row r="9">
      <c r="A9" s="5" t="inlineStr">
        <is>
          <t>Cushion Status</t>
        </is>
      </c>
      <c r="B9" s="13">
        <f>IF(B8&gt;=ComfortableThreshold*100,"Comfortable",IF(B8&gt;=TightThreshold*100,"Tight","High Risk"))</f>
        <v/>
      </c>
      <c r="C9" s="13">
        <f>IF(C8&gt;=ComfortableThreshold*100,"Comfortable",IF(C8&gt;=TightThreshold*100,"Tight","High Risk"))</f>
        <v/>
      </c>
      <c r="D9" s="13">
        <f>IF(D8&gt;=ComfortableThreshold*100,"Comfortable",IF(D8&gt;=TightThreshold*100,"Tight","High Risk"))</f>
        <v/>
      </c>
    </row>
    <row r="10">
      <c r="A10" s="5" t="inlineStr">
        <is>
          <t>Initial Payment (one-time)</t>
        </is>
      </c>
      <c r="B10" s="12">
        <f>EstMonthlyRent_TargetHomePrice*2</f>
        <v/>
      </c>
      <c r="C10" s="12">
        <f>RtoContractFee_TargetHomePrice</f>
        <v/>
      </c>
      <c r="D10" s="12">
        <f>TargetHomePrice*DownPaymentRate+TargetHomePrice*TransactionCostRate</f>
        <v/>
      </c>
    </row>
    <row r="11">
      <c r="A11" s="5" t="inlineStr">
        <is>
          <t>Total Paid Over 10 Years</t>
        </is>
      </c>
      <c r="B11" s="32">
        <f>'7b. Wealth — Target Price'!F19</f>
        <v/>
      </c>
      <c r="C11" s="32">
        <f>RtoTotalPaid10Y_TargetHomePrice</f>
        <v/>
      </c>
      <c r="D11" s="12">
        <f>D6*120+D10</f>
        <v/>
      </c>
    </row>
    <row r="12">
      <c r="A12" s="5" t="inlineStr">
        <is>
          <t>Capital Value @ Year 10</t>
        </is>
      </c>
      <c r="B12" t="inlineStr">
        <is>
          <t>No capital value (renting)</t>
        </is>
      </c>
      <c r="C12" s="12">
        <f>RtoHomeValueYear10_TargetHomePrice</f>
        <v/>
      </c>
      <c r="D12" s="12">
        <f>HomeValueYear10_TargetHomePrice</f>
        <v/>
      </c>
    </row>
    <row r="13">
      <c r="A13" s="5" t="inlineStr">
        <is>
          <t>Net Cash Flow over 10 Years</t>
        </is>
      </c>
      <c r="B13" s="32">
        <f>0-B11</f>
        <v/>
      </c>
      <c r="C13" s="32">
        <f>C12-C11</f>
        <v/>
      </c>
      <c r="D13" s="32">
        <f>D12-D11</f>
        <v/>
      </c>
    </row>
    <row r="14" ht="28" customHeight="1"/>
    <row r="15">
      <c r="A15" s="4" t="inlineStr">
        <is>
          <t>Row references used elsewhere: Remaining Monthly Income row = 7, Cushion Status row = 9, Remaining % row = 8, Net Cash Flow row = 13.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Gap &amp; Plan — Rent-to-Own, basis = Recommended Home Price</t>
        </is>
      </c>
    </row>
    <row r="3">
      <c r="A3" s="34" t="inlineStr">
        <is>
          <t>RTO no longer computes its own 'affordable home price' — Buy and RTO share ONE financial-eligibility ceiling (Home Price Gap below, informational only: there is no RTO-specific lever that closes it, since closing it means more loan capacity — Buy's own action, see 4a. Home Price Gap (Rec)). This sheet's PLAN is entirely RTO-specific cash-flow math: the contract fee (an upfront cash requirement Buy doesn't have) and the actual RTO monthly payment's own feasibility during Years 1-3 (never Buy's installment math).</t>
        </is>
      </c>
    </row>
    <row r="4">
      <c r="A4" s="20" t="n"/>
    </row>
    <row r="5">
      <c r="A5" s="34" t="inlineStr">
        <is>
          <t>THE GAP</t>
        </is>
      </c>
      <c r="B5" s="12" t="n"/>
    </row>
    <row r="6">
      <c r="A6" s="34" t="inlineStr">
        <is>
          <t>Home Price Gap (shared eligibility check with Buy — see 4a. Home Price Gap (Rec))</t>
        </is>
      </c>
      <c r="B6" s="32">
        <f>'4a. Home Price Gap (Rec)'!B7</f>
        <v/>
      </c>
    </row>
    <row r="7">
      <c r="A7" s="34" t="inlineStr">
        <is>
          <t>Contract Fee (required upfront)</t>
        </is>
      </c>
      <c r="B7" s="32">
        <f>RtoContractFee_MaxHomePrice</f>
        <v/>
      </c>
    </row>
    <row r="8">
      <c r="A8" s="34" t="inlineStr">
        <is>
          <t>Available Down Payment</t>
        </is>
      </c>
      <c r="B8" s="32">
        <f>AvailableDownPayment</f>
        <v/>
      </c>
    </row>
    <row r="9">
      <c r="A9" s="34" t="inlineStr">
        <is>
          <t>Contract Fee Gap</t>
        </is>
      </c>
      <c r="B9" s="35">
        <f>MAX(0,RtoContractFee_MaxHomePrice-AvailableDownPayment)</f>
        <v/>
      </c>
    </row>
    <row r="10">
      <c r="A10" s="34" t="inlineStr">
        <is>
          <t>Is Contract Fee Gap Closed</t>
        </is>
      </c>
      <c r="B10" s="34">
        <f>RtoContractFeeGap_MaxHomePrice=0</f>
        <v/>
      </c>
    </row>
    <row r="11">
      <c r="A11" s="34" t="inlineStr">
        <is>
          <t>Monthly Shortfall (during the 3-year RTO period)</t>
        </is>
      </c>
      <c r="B11" s="34">
        <f>IF(RtoHasShortfall_MaxHomePrice,ABS(RtoRemainingMonthly_MaxHomePrice),0)</f>
        <v/>
      </c>
      <c r="C11" s="27" t="inlineStr">
        <is>
          <t>How much more the household would need each month to afford the actual RTO payment during Years 1-3 — computed from RTO's own monthly payment (row 19 below), never Buy's installment math. ฿0 when there's no shortfall.</t>
        </is>
      </c>
    </row>
    <row r="12">
      <c r="A12" s="27" t="inlineStr">
        <is>
          <t>In the app: a GAP row is hidden whenever its amount is ฿0 (all three rows above).</t>
        </is>
      </c>
    </row>
    <row r="13">
      <c r="A13" s="34" t="inlineStr">
        <is>
          <t>THE PLAN</t>
        </is>
      </c>
    </row>
    <row r="14">
      <c r="A14" s="34" t="inlineStr">
        <is>
          <t>1. Complete your contract fee</t>
        </is>
      </c>
    </row>
    <row r="15">
      <c r="A15" s="34" t="inlineStr">
        <is>
          <t>Months to Close Contract Fee Gap</t>
        </is>
      </c>
      <c r="B15" s="32">
        <f>IF(RtoContractFeeGapClosed_MaxHomePrice,0,IF(MonthlySavingCapacity&gt;0,CEILING(RtoContractFeeGap_MaxHomePrice/MonthlySavingCapacity,1),"N/A (saving $0/mo)"))</f>
        <v/>
      </c>
    </row>
    <row r="16">
      <c r="A16" s="34" t="n"/>
      <c r="B16" s="32" t="n"/>
      <c r="C16" s="34" t="n"/>
      <c r="D16" s="34" t="n"/>
      <c r="E16" s="34" t="n"/>
      <c r="F16" s="34" t="n"/>
      <c r="G16" s="34" t="n"/>
    </row>
    <row r="17">
      <c r="A17" s="34" t="n"/>
      <c r="B17" s="36" t="n"/>
      <c r="C17" s="34" t="n"/>
      <c r="D17" s="34" t="n"/>
      <c r="E17" s="34" t="n"/>
      <c r="F17" s="34" t="n"/>
      <c r="G17" s="34" t="n"/>
    </row>
    <row r="18">
      <c r="A18" s="34" t="inlineStr">
        <is>
          <t>2. Close the monthly shortfall — Years 1-3 (if any)</t>
        </is>
      </c>
      <c r="B18" s="12" t="n"/>
    </row>
    <row r="19">
      <c r="A19" s="34" t="inlineStr">
        <is>
          <t>RTO Monthly Payment (Years 1-3)</t>
        </is>
      </c>
      <c r="B19" s="32">
        <f>RtoMonthlyPayment_MaxHomePrice</f>
        <v/>
      </c>
      <c r="C19" s="8" t="n"/>
    </row>
    <row r="20">
      <c r="A20" s="34" t="inlineStr">
        <is>
          <t>Remaining Monthly Income (from 9a. Cash Flow — Recommended)</t>
        </is>
      </c>
      <c r="B20" s="34">
        <f>'9a. Cash Flow — Recommended'!C7</f>
        <v/>
      </c>
    </row>
    <row r="21">
      <c r="A21" s="34" t="inlineStr">
        <is>
          <t>Cushion Status (from 9a. Cash Flow — Recommended)</t>
        </is>
      </c>
      <c r="B21" s="34">
        <f>'9a. Cash Flow — Recommended'!C9</f>
        <v/>
      </c>
    </row>
    <row r="22">
      <c r="A22" s="34" t="inlineStr">
        <is>
          <t>Has Monthly Shortfall</t>
        </is>
      </c>
      <c r="B22" s="32">
        <f>B20&lt;0</f>
        <v/>
      </c>
    </row>
    <row r="23">
      <c r="A23" s="34" t="inlineStr">
        <is>
          <t>Monthly Shortfall (if any) — same figure as THE GAP row above</t>
        </is>
      </c>
      <c r="B23" s="32">
        <f>B11</f>
        <v/>
      </c>
    </row>
    <row r="24">
      <c r="A24" s="34" t="n"/>
      <c r="B24" s="36" t="n"/>
      <c r="C24" s="34" t="n"/>
      <c r="D24" s="34" t="n"/>
      <c r="E24" s="34" t="n"/>
      <c r="F24" s="34" t="n"/>
      <c r="G24" s="34" t="n"/>
    </row>
    <row r="25">
      <c r="A25" s="34" t="n"/>
      <c r="B25" s="36" t="n"/>
      <c r="C25" s="37" t="n"/>
      <c r="D25" s="34" t="n"/>
      <c r="E25" s="34" t="n"/>
      <c r="F25" s="34" t="n"/>
      <c r="G25" s="34" t="n"/>
    </row>
    <row r="26">
      <c r="A26" s="34" t="n"/>
      <c r="B26" s="32" t="n"/>
      <c r="C26" s="34" t="n"/>
      <c r="D26" s="34" t="n"/>
      <c r="E26" s="34" t="n"/>
      <c r="F26" s="34" t="n"/>
      <c r="G26" s="34" t="n"/>
    </row>
    <row r="27">
      <c r="A27" s="34" t="inlineStr">
        <is>
          <t>ADDITIONAL OPTION</t>
        </is>
      </c>
    </row>
    <row r="28">
      <c r="A28" s="34" t="inlineStr">
        <is>
          <t>IDENTICAL to Buy's — same stretch/risk-zone tiers, same copy (see 4a. Home Price Gap (Rec) rows below). No separate RTO-only 'lower to Recommended Price' message anymore.</t>
        </is>
      </c>
    </row>
    <row r="29">
      <c r="A29" s="34" t="inlineStr">
        <is>
          <t>Downsize Suggestion (shared — see 4a. Home Price Gap (Rec))</t>
        </is>
      </c>
      <c r="B29" s="34">
        <f>'4a. Home Price Gap (Rec)'!B18</f>
        <v/>
      </c>
    </row>
    <row r="30">
      <c r="A30" s="34" t="inlineStr">
        <is>
          <t>Amount over Stretch Budget (if over-risk-budget)</t>
        </is>
      </c>
      <c r="B30" s="34">
        <f>'4a. Home Price Gap (Rec)'!B19</f>
        <v/>
      </c>
    </row>
    <row r="31">
      <c r="A31" s="34" t="n"/>
      <c r="B31" s="35" t="n"/>
      <c r="C31" s="34" t="n"/>
      <c r="D31" s="34" t="n"/>
      <c r="E31" s="34" t="n"/>
      <c r="F31" s="34" t="n"/>
      <c r="G31" s="34" t="n"/>
    </row>
  </sheetData>
  <mergeCells count="4">
    <mergeCell ref="A3:G3"/>
    <mergeCell ref="A1:G1"/>
    <mergeCell ref="A28:G28"/>
    <mergeCell ref="A12:G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Gap &amp; Plan — Rent-to-Own, basis = Target Home Price</t>
        </is>
      </c>
    </row>
    <row r="3">
      <c r="A3" s="34" t="inlineStr">
        <is>
          <t>RTO no longer computes its own 'affordable home price' — Buy and RTO share ONE financial-eligibility ceiling (Home Price Gap below, informational only: there is no RTO-specific lever that closes it, since closing it means more loan capacity — Buy's own action, see 4b. Home Price Gap (Tgt)). This sheet's PLAN is entirely RTO-specific cash-flow math: the contract fee (an upfront cash requirement Buy doesn't have) and the actual RTO monthly payment's own feasibility during Years 1-3 (never Buy's installment math).</t>
        </is>
      </c>
    </row>
    <row r="4">
      <c r="A4" s="20" t="n"/>
    </row>
    <row r="5">
      <c r="A5" s="34" t="inlineStr">
        <is>
          <t>THE GAP</t>
        </is>
      </c>
      <c r="B5" s="12" t="n"/>
    </row>
    <row r="6">
      <c r="A6" s="34" t="inlineStr">
        <is>
          <t>Home Price Gap (shared eligibility check with Buy — see 4b. Home Price Gap (Tgt))</t>
        </is>
      </c>
      <c r="B6" s="32">
        <f>'4b. Home Price Gap (Tgt)'!B7</f>
        <v/>
      </c>
    </row>
    <row r="7">
      <c r="A7" s="34" t="inlineStr">
        <is>
          <t>Contract Fee (required upfront)</t>
        </is>
      </c>
      <c r="B7" s="32">
        <f>RtoContractFee_TargetHomePrice</f>
        <v/>
      </c>
    </row>
    <row r="8">
      <c r="A8" s="34" t="inlineStr">
        <is>
          <t>Available Down Payment</t>
        </is>
      </c>
      <c r="B8" s="32">
        <f>AvailableDownPayment</f>
        <v/>
      </c>
    </row>
    <row r="9">
      <c r="A9" s="34" t="inlineStr">
        <is>
          <t>Contract Fee Gap</t>
        </is>
      </c>
      <c r="B9" s="35">
        <f>MAX(0,RtoContractFee_TargetHomePrice-AvailableDownPayment)</f>
        <v/>
      </c>
    </row>
    <row r="10">
      <c r="A10" s="34" t="inlineStr">
        <is>
          <t>Is Contract Fee Gap Closed</t>
        </is>
      </c>
      <c r="B10" s="34">
        <f>RtoContractFeeGap_TargetHomePrice=0</f>
        <v/>
      </c>
    </row>
    <row r="11">
      <c r="A11" s="34" t="inlineStr">
        <is>
          <t>Monthly Shortfall (during the 3-year RTO period)</t>
        </is>
      </c>
      <c r="B11" s="34">
        <f>IF(RtoHasShortfall_TargetHomePrice,ABS(RtoRemainingMonthly_TargetHomePrice),0)</f>
        <v/>
      </c>
      <c r="C11" s="27" t="inlineStr">
        <is>
          <t>How much more the household would need each month to afford the actual RTO payment during Years 1-3 — computed from RTO's own monthly payment (row 19 below), never Buy's installment math. ฿0 when there's no shortfall.</t>
        </is>
      </c>
    </row>
    <row r="12">
      <c r="A12" s="27" t="inlineStr">
        <is>
          <t>In the app: a GAP row is hidden whenever its amount is ฿0 (all three rows above).</t>
        </is>
      </c>
    </row>
    <row r="13">
      <c r="A13" s="34" t="inlineStr">
        <is>
          <t>THE PLAN</t>
        </is>
      </c>
    </row>
    <row r="14">
      <c r="A14" s="34" t="inlineStr">
        <is>
          <t>1. Complete your contract fee</t>
        </is>
      </c>
    </row>
    <row r="15">
      <c r="A15" s="34" t="inlineStr">
        <is>
          <t>Months to Close Contract Fee Gap</t>
        </is>
      </c>
      <c r="B15" s="32">
        <f>IF(RtoContractFeeGapClosed_TargetHomePrice,0,IF(MonthlySavingCapacity&gt;0,CEILING(RtoContractFeeGap_TargetHomePrice/MonthlySavingCapacity,1),"N/A (saving $0/mo)"))</f>
        <v/>
      </c>
    </row>
    <row r="16">
      <c r="A16" s="34" t="n"/>
      <c r="B16" s="32" t="n"/>
      <c r="C16" s="34" t="n"/>
      <c r="D16" s="34" t="n"/>
      <c r="E16" s="34" t="n"/>
      <c r="F16" s="34" t="n"/>
      <c r="G16" s="34" t="n"/>
    </row>
    <row r="17">
      <c r="A17" s="34" t="n"/>
      <c r="B17" s="36" t="n"/>
      <c r="C17" s="34" t="n"/>
      <c r="D17" s="34" t="n"/>
      <c r="E17" s="34" t="n"/>
      <c r="F17" s="34" t="n"/>
      <c r="G17" s="34" t="n"/>
    </row>
    <row r="18">
      <c r="A18" s="34" t="inlineStr">
        <is>
          <t>2. Close the monthly shortfall — Years 1-3 (if any)</t>
        </is>
      </c>
      <c r="B18" s="12" t="n"/>
    </row>
    <row r="19">
      <c r="A19" s="34" t="inlineStr">
        <is>
          <t>RTO Monthly Payment (Years 1-3)</t>
        </is>
      </c>
      <c r="B19" s="32">
        <f>RtoMonthlyPayment_TargetHomePrice</f>
        <v/>
      </c>
      <c r="C19" s="8" t="n"/>
    </row>
    <row r="20">
      <c r="A20" s="34" t="inlineStr">
        <is>
          <t>Remaining Monthly Income (from 9b. Cash Flow — Target Price)</t>
        </is>
      </c>
      <c r="B20" s="34">
        <f>'9b. Cash Flow — Target Price'!C7</f>
        <v/>
      </c>
    </row>
    <row r="21">
      <c r="A21" s="34" t="inlineStr">
        <is>
          <t>Cushion Status (from 9b. Cash Flow — Target Price)</t>
        </is>
      </c>
      <c r="B21" s="34">
        <f>'9b. Cash Flow — Target Price'!C9</f>
        <v/>
      </c>
    </row>
    <row r="22">
      <c r="A22" s="34" t="inlineStr">
        <is>
          <t>Has Monthly Shortfall</t>
        </is>
      </c>
      <c r="B22" s="32">
        <f>B20&lt;0</f>
        <v/>
      </c>
    </row>
    <row r="23">
      <c r="A23" s="34" t="inlineStr">
        <is>
          <t>Monthly Shortfall (if any) — same figure as THE GAP row above</t>
        </is>
      </c>
      <c r="B23" s="32">
        <f>B11</f>
        <v/>
      </c>
    </row>
    <row r="24">
      <c r="A24" s="34" t="n"/>
      <c r="B24" s="36" t="n"/>
      <c r="C24" s="34" t="n"/>
      <c r="D24" s="34" t="n"/>
      <c r="E24" s="34" t="n"/>
      <c r="F24" s="34" t="n"/>
      <c r="G24" s="34" t="n"/>
    </row>
    <row r="25">
      <c r="A25" s="34" t="n"/>
      <c r="B25" s="36" t="n"/>
      <c r="C25" s="37" t="n"/>
      <c r="D25" s="34" t="n"/>
      <c r="E25" s="34" t="n"/>
      <c r="F25" s="34" t="n"/>
      <c r="G25" s="34" t="n"/>
    </row>
    <row r="26">
      <c r="A26" s="34" t="n"/>
      <c r="B26" s="32" t="n"/>
      <c r="C26" s="34" t="n"/>
      <c r="D26" s="34" t="n"/>
      <c r="E26" s="34" t="n"/>
      <c r="F26" s="34" t="n"/>
      <c r="G26" s="34" t="n"/>
    </row>
    <row r="27">
      <c r="A27" s="34" t="inlineStr">
        <is>
          <t>ADDITIONAL OPTION</t>
        </is>
      </c>
    </row>
    <row r="28">
      <c r="A28" s="34" t="inlineStr">
        <is>
          <t>IDENTICAL to Buy's — same stretch/risk-zone tiers, same copy (see 4b. Home Price Gap (Tgt) rows below). No separate RTO-only 'lower to Recommended Price' message anymore.</t>
        </is>
      </c>
    </row>
    <row r="29">
      <c r="A29" s="34" t="inlineStr">
        <is>
          <t>Downsize Suggestion (shared — see 4b. Home Price Gap (Tgt))</t>
        </is>
      </c>
      <c r="B29" s="34">
        <f>'4b. Home Price Gap (Tgt)'!B18</f>
        <v/>
      </c>
    </row>
    <row r="30">
      <c r="A30" s="34" t="inlineStr">
        <is>
          <t>Amount over Stretch Budget (if over-risk-budget)</t>
        </is>
      </c>
      <c r="B30" s="34">
        <f>'4b. Home Price Gap (Tgt)'!B19</f>
        <v/>
      </c>
    </row>
    <row r="31">
      <c r="A31" s="34" t="n"/>
      <c r="B31" s="35" t="n"/>
      <c r="C31" s="34" t="n"/>
      <c r="D31" s="34" t="n"/>
      <c r="E31" s="34" t="n"/>
      <c r="F31" s="34" t="n"/>
      <c r="G31" s="34" t="n"/>
    </row>
  </sheetData>
  <mergeCells count="4">
    <mergeCell ref="A3:G3"/>
    <mergeCell ref="A1:G1"/>
    <mergeCell ref="A28:G28"/>
    <mergeCell ref="A12:G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Gap &amp; Plan — Rent, basis = Recommended Home Price</t>
        </is>
      </c>
    </row>
    <row r="3" ht="28" customHeight="1">
      <c r="A3" s="30" t="inlineStr">
        <is>
          <t>Renting DOES have a real upfront cash requirement — the 2-month rental deposit, checked against Total Savings (not Available Down Payment — Rent needs no down payment at all).</t>
        </is>
      </c>
    </row>
    <row r="5">
      <c r="A5" s="17" t="inlineStr">
        <is>
          <t>THE GAP</t>
        </is>
      </c>
      <c r="B5" s="12" t="n"/>
    </row>
    <row r="6">
      <c r="A6" s="5" t="inlineStr">
        <is>
          <t>Required Rental Deposit (2 months' rent)</t>
        </is>
      </c>
      <c r="B6" s="12">
        <f>'9a. Cash Flow — Recommended'!B10</f>
        <v/>
      </c>
      <c r="C6" s="27">
        <f> CashFlowBreakdown.initialPaymentTHB for Rent, reused verbatim.</f>
        <v/>
      </c>
    </row>
    <row r="7">
      <c r="A7" s="5" t="inlineStr">
        <is>
          <t>Total Savings Available</t>
        </is>
      </c>
      <c r="B7" s="12">
        <f>TotalSavings</f>
        <v/>
      </c>
    </row>
    <row r="8">
      <c r="A8" s="5" t="inlineStr">
        <is>
          <t>Rental Deposit Gap</t>
        </is>
      </c>
      <c r="B8" s="26">
        <f>MAX(0,RentRequiredDeposit_MaxHomePrice-TotalSavings)</f>
        <v/>
      </c>
    </row>
    <row r="9">
      <c r="A9" s="5" t="inlineStr">
        <is>
          <t>Is Rental Deposit Ready</t>
        </is>
      </c>
      <c r="B9">
        <f>RentDepositGap_MaxHomePrice=0</f>
        <v/>
      </c>
    </row>
    <row r="10">
      <c r="A10" s="5" t="inlineStr">
        <is>
          <t>Remaining Monthly Income (from 9a. Cash Flow — Recommended)</t>
        </is>
      </c>
      <c r="B10" s="26">
        <f>'9a. Cash Flow — Recommended'!B7</f>
        <v/>
      </c>
    </row>
    <row r="11">
      <c r="A11" s="5" t="inlineStr">
        <is>
          <t>Has Monthly Shortfall</t>
        </is>
      </c>
      <c r="B11">
        <f>RentRemainingMonthly_MaxHomePrice&lt;0</f>
        <v/>
      </c>
    </row>
    <row r="12">
      <c r="A12" s="5" t="inlineStr">
        <is>
          <t>Monthly Shortfall (if any)</t>
        </is>
      </c>
      <c r="B12" s="26">
        <f>IF(RentHasShortfall_MaxHomePrice,ABS(RentRemainingMonthly_MaxHomePrice),0)</f>
        <v/>
      </c>
    </row>
    <row r="13">
      <c r="A13" s="23" t="inlineStr">
        <is>
          <t>In the app: Rental Deposit Gap row is hidden when ฿0; Monthly Shortfall row is hidden unless there IS a shortfall.</t>
        </is>
      </c>
    </row>
    <row r="15">
      <c r="A15" s="17" t="inlineStr">
        <is>
          <t>THE PLAN</t>
        </is>
      </c>
    </row>
    <row r="16">
      <c r="A16" s="5" t="inlineStr">
        <is>
          <t>Months to Close Rental Deposit Gap</t>
        </is>
      </c>
      <c r="B16">
        <f>IF(RentDepositReady_MaxHomePrice,0,IF(MonthlySavingCapacity&gt;0,CEILING(RentDepositGap_MaxHomePrice/MonthlySavingCapacity,1),"N/A (saving $0/mo)"))</f>
        <v/>
      </c>
    </row>
    <row r="17">
      <c r="A17" s="5" t="inlineStr">
        <is>
          <t>Close the monthly shortfall (action)</t>
        </is>
      </c>
      <c r="B17">
        <f>"Consider a lower rent budget, higher income, or lower existing debt"</f>
        <v/>
      </c>
    </row>
  </sheetData>
  <mergeCells count="3">
    <mergeCell ref="A13:G13"/>
    <mergeCell ref="A3:G3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Gap &amp; Plan — Rent, basis = Target Home Price</t>
        </is>
      </c>
    </row>
    <row r="3" ht="28" customHeight="1">
      <c r="A3" s="30" t="inlineStr">
        <is>
          <t>Renting DOES have a real upfront cash requirement — the 2-month rental deposit, checked against Total Savings (not Available Down Payment — Rent needs no down payment at all).</t>
        </is>
      </c>
    </row>
    <row r="5">
      <c r="A5" s="17" t="inlineStr">
        <is>
          <t>THE GAP</t>
        </is>
      </c>
      <c r="B5" s="12" t="n"/>
    </row>
    <row r="6">
      <c r="A6" s="5" t="inlineStr">
        <is>
          <t>Required Rental Deposit (2 months' rent)</t>
        </is>
      </c>
      <c r="B6" s="12">
        <f>'9b. Cash Flow — Target Price'!B10</f>
        <v/>
      </c>
      <c r="C6" s="27">
        <f> CashFlowBreakdown.initialPaymentTHB for Rent, reused verbatim.</f>
        <v/>
      </c>
    </row>
    <row r="7">
      <c r="A7" s="5" t="inlineStr">
        <is>
          <t>Total Savings Available</t>
        </is>
      </c>
      <c r="B7" s="12">
        <f>TotalSavings</f>
        <v/>
      </c>
    </row>
    <row r="8">
      <c r="A8" s="5" t="inlineStr">
        <is>
          <t>Rental Deposit Gap</t>
        </is>
      </c>
      <c r="B8" s="26">
        <f>MAX(0,RentRequiredDeposit_TargetHomePrice-TotalSavings)</f>
        <v/>
      </c>
    </row>
    <row r="9">
      <c r="A9" s="5" t="inlineStr">
        <is>
          <t>Is Rental Deposit Ready</t>
        </is>
      </c>
      <c r="B9">
        <f>RentDepositGap_TargetHomePrice=0</f>
        <v/>
      </c>
    </row>
    <row r="10">
      <c r="A10" s="5" t="inlineStr">
        <is>
          <t>Remaining Monthly Income (from 9b. Cash Flow — Target Price)</t>
        </is>
      </c>
      <c r="B10" s="26">
        <f>'9b. Cash Flow — Target Price'!B7</f>
        <v/>
      </c>
    </row>
    <row r="11">
      <c r="A11" s="5" t="inlineStr">
        <is>
          <t>Has Monthly Shortfall</t>
        </is>
      </c>
      <c r="B11">
        <f>RentRemainingMonthly_TargetHomePrice&lt;0</f>
        <v/>
      </c>
    </row>
    <row r="12">
      <c r="A12" s="5" t="inlineStr">
        <is>
          <t>Monthly Shortfall (if any)</t>
        </is>
      </c>
      <c r="B12" s="26">
        <f>IF(RentHasShortfall_TargetHomePrice,ABS(RentRemainingMonthly_TargetHomePrice),0)</f>
        <v/>
      </c>
    </row>
    <row r="13">
      <c r="A13" s="23" t="inlineStr">
        <is>
          <t>In the app: Rental Deposit Gap row is hidden when ฿0; Monthly Shortfall row is hidden unless there IS a shortfall.</t>
        </is>
      </c>
    </row>
    <row r="15">
      <c r="A15" s="17" t="inlineStr">
        <is>
          <t>THE PLAN</t>
        </is>
      </c>
    </row>
    <row r="16">
      <c r="A16" s="5" t="inlineStr">
        <is>
          <t>Months to Close Rental Deposit Gap</t>
        </is>
      </c>
      <c r="B16">
        <f>IF(RentDepositReady_TargetHomePrice,0,IF(MonthlySavingCapacity&gt;0,CEILING(RentDepositGap_TargetHomePrice/MonthlySavingCapacity,1),"N/A (saving $0/mo)"))</f>
        <v/>
      </c>
    </row>
    <row r="17">
      <c r="A17" s="5" t="inlineStr">
        <is>
          <t>Close the monthly shortfall (action)</t>
        </is>
      </c>
      <c r="B17">
        <f>"Consider a lower rent budget, higher income, or lower existing debt"</f>
        <v/>
      </c>
    </row>
  </sheetData>
  <mergeCells count="3">
    <mergeCell ref="A13:G13"/>
    <mergeCell ref="A3:G3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Advisory Notices — getAdvisoryNotices</t>
        </is>
      </c>
    </row>
    <row r="3" ht="28" customHeight="1">
      <c r="A3" s="4" t="inlineStr">
        <is>
          <t>Warning-only: reads ONLY Monthly Cash Flow Before Housing (Sheet 3) — structurally can never affect any affordability number or the Readiness Score.</t>
        </is>
      </c>
    </row>
    <row r="5">
      <c r="A5" s="5" t="inlineStr">
        <is>
          <t>Negative Cash Flow Before Housing?</t>
        </is>
      </c>
      <c r="B5" s="13">
        <f>MonthlyCashFlowBeforeHousing&lt;0</f>
        <v/>
      </c>
    </row>
    <row r="6">
      <c r="A6" s="5" t="inlineStr">
        <is>
          <t>Amount (if negative)</t>
        </is>
      </c>
      <c r="B6" s="13">
        <f>IF(MonthlyCashFlowBeforeHousing&lt;0,ABS(MonthlyCashFlowBeforeHousing),"-")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2026-09-03T10:39:43Z</dcterms:created>
  <dcterms:modified xsi:type="dcterms:W3CDTF">2026-09-24T04:14:44Z</dcterms:modified>
</cp:coreProperties>
</file>