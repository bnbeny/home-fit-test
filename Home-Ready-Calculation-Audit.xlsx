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end" sheetId="1" state="visible" r:id="rId1"/>
    <sheet name="Inputs" sheetId="2" state="visible" r:id="rId2"/>
    <sheet name="Purchasing Power" sheetId="3" state="visible" r:id="rId3"/>
    <sheet name="Action Plan" sheetId="4" state="visible" r:id="rId4"/>
    <sheet name="Readiness Score" sheetId="5" state="visible" r:id="rId5"/>
    <sheet name="Dashboard" sheetId="6" state="visible" r:id="rId6"/>
  </sheets>
  <definedNames>
    <definedName name="DebtServiceRatio">'Inputs'!$B$6</definedName>
    <definedName name="AnnualInterestRate">'Inputs'!$B$7</definedName>
    <definedName name="DownPaymentRate">'Inputs'!$B$8</definedName>
    <definedName name="SafeBudgetMultiplier">'Inputs'!$B$9</definedName>
    <definedName name="StretchBudgetMultiplier">'Inputs'!$B$10</definedName>
    <definedName name="RiskZoneMultiplier">'Inputs'!$B$11</definedName>
    <definedName name="EmergencyCushionMonths">'Inputs'!$B$12</definedName>
    <definedName name="MonthlyIncome">'Inputs'!$B$16</definedName>
    <definedName name="ExtraMonthlyIncome">'Inputs'!$B$17</definedName>
    <definedName name="MonthlyDebtPayment">'Inputs'!$B$18</definedName>
    <definedName name="TotalSavings">'Inputs'!$B$19</definedName>
    <definedName name="AvailableDownPayment">'Inputs'!$B$20</definedName>
    <definedName name="MonthlySavingCapacity">'Inputs'!$B$21</definedName>
    <definedName name="MaxComfortableInstallment">'Inputs'!$B$22</definedName>
    <definedName name="TargetHomePrice">'Inputs'!$B$23</definedName>
    <definedName name="TargetTimelineMonths">'Inputs'!$B$24</definedName>
    <definedName name="LoanTermYears">'Inputs'!$B$25</definedName>
    <definedName name="TotalIncome">'Purchasing Power'!$B$5</definedName>
    <definedName name="DsrCeiling">'Purchasing Power'!$B$6</definedName>
    <definedName name="AffordableMonthlyPayment">'Purchasing Power'!$B$7</definedName>
    <definedName name="IsComfortLimited">'Purchasing Power'!$B$8</definedName>
    <definedName name="RecommendedMonthlyInstallment">'Purchasing Power'!$B$9</definedName>
    <definedName name="MonthlyRate">'Purchasing Power'!$B$10</definedName>
    <definedName name="NumPayments">'Purchasing Power'!$B$11</definedName>
    <definedName name="LoanFactor">'Purchasing Power'!$B$12</definedName>
    <definedName name="EstimatedLoanAmount">'Purchasing Power'!$B$13</definedName>
    <definedName name="CurrentHomeBudget">'Purchasing Power'!$B$14</definedName>
    <definedName name="SafeBudget">'Purchasing Power'!$B$15</definedName>
    <definedName name="StretchBudget">'Purchasing Power'!$B$16</definedName>
    <definedName name="RiskZoneThreshold">'Purchasing Power'!$B$17</definedName>
    <definedName name="RequiredDownPayment">'Action Plan'!$B$5</definedName>
    <definedName name="CashGap">'Action Plan'!$B$6</definedName>
    <definedName name="IsDownPaymentReady">'Action Plan'!$B$7</definedName>
    <definedName name="MonthsToReady">'Action Plan'!$B$8</definedName>
    <definedName name="YearsToReady">'Action Plan'!$B$9</definedName>
    <definedName name="IsOnTargetTimeline">'Action Plan'!$B$10</definedName>
    <definedName name="EmergencyCushion">'Action Plan'!$B$11</definedName>
    <definedName name="MonthlyObligationsAfterPurchase">'Action Plan'!$B$12</definedName>
    <definedName name="RecommendedCushion">'Action Plan'!$B$13</definedName>
    <definedName name="Suggestion_OverRiskBudget">'Action Plan'!$B$17</definedName>
    <definedName name="Suggestion_StretchZone">'Action Plan'!$B$18</definedName>
    <definedName name="Suggestion_TimelineShortfall">'Action Plan'!$B$19</definedName>
    <definedName name="Suggestion_NoSavingPlan">'Action Plan'!$B$20</definedName>
    <definedName name="Suggestion_ComfortLimited">'Action Plan'!$B$21</definedName>
    <definedName name="Suggestion_LowEmergencyCushion">'Action Plan'!$B$22</definedName>
    <definedName name="DownPaymentCoverage">'Readiness Score'!$B$5</definedName>
    <definedName name="BudgetFit">'Readiness Score'!$B$6</definedName>
    <definedName name="TimelineFit">'Readiness Score'!$B$7</definedName>
    <definedName name="ReadinessPercent">'Readiness Score'!$B$9</definedName>
    <definedName name="Status">'Readiness Score'!$B$10</definedName>
    <definedName name="Archetype">'Readiness Score'!$B$11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&quot;฿&quot;#,##0"/>
    <numFmt numFmtId="166" formatCode="0.0&quot;%&quot;"/>
    <numFmt numFmtId="167" formatCode="0&quot;%&quot;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0"/>
    </font>
    <font>
      <name val="Calibri"/>
      <b val="1"/>
      <color rgb="000F1430"/>
      <sz val="11"/>
    </font>
    <font>
      <b val="1"/>
      <sz val="10"/>
    </font>
    <font>
      <name val="Calibri"/>
      <color rgb="000F1430"/>
      <sz val="10"/>
    </font>
    <font>
      <name val="Calibri"/>
      <i val="1"/>
      <color rgb="005B6178"/>
      <sz val="9"/>
    </font>
    <font>
      <name val="Calibri"/>
      <b val="1"/>
      <color rgb="00FFFFFF"/>
      <sz val="10"/>
    </font>
    <font>
      <name val="Calibri"/>
      <b val="1"/>
      <color rgb="000F1430"/>
      <sz val="10"/>
    </font>
  </fonts>
  <fills count="7">
    <fill>
      <patternFill/>
    </fill>
    <fill>
      <patternFill patternType="gray125"/>
    </fill>
    <fill>
      <patternFill patternType="solid">
        <fgColor rgb="000F1430"/>
      </patternFill>
    </fill>
    <fill>
      <patternFill patternType="solid">
        <fgColor rgb="00EEF1F9"/>
      </patternFill>
    </fill>
    <fill>
      <patternFill patternType="solid">
        <fgColor rgb="00FFF3CD"/>
      </patternFill>
    </fill>
    <fill>
      <patternFill patternType="solid">
        <fgColor rgb="00FDE9D2"/>
      </patternFill>
    </fill>
    <fill>
      <patternFill patternType="solid">
        <fgColor rgb="00DCE6F7"/>
      </patternFill>
    </fill>
  </fills>
  <borders count="5">
    <border>
      <left/>
      <right/>
      <top/>
      <bottom/>
      <diagonal/>
    </border>
    <border>
      <left style="thin">
        <color rgb="00D9DCE6"/>
      </left>
      <right style="thin">
        <color rgb="00D9DCE6"/>
      </right>
      <top style="thin">
        <color rgb="00D9DCE6"/>
      </top>
      <bottom style="thin">
        <color rgb="00D9DCE6"/>
      </bottom>
    </border>
    <border>
      <left/>
      <right/>
      <top style="thin">
        <color rgb="00D9DCE6"/>
      </top>
      <bottom/>
      <diagonal/>
    </border>
    <border>
      <left/>
      <right style="thin">
        <color rgb="00D9DCE6"/>
      </right>
      <top style="thin">
        <color rgb="00D9DCE6"/>
      </top>
      <bottom/>
      <diagonal/>
    </border>
    <border>
      <left/>
      <right style="thin">
        <color rgb="00D9DCE6"/>
      </right>
      <top style="thin">
        <color rgb="00D9DCE6"/>
      </top>
      <bottom style="thin">
        <color rgb="00D9DCE6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wrapText="1"/>
    </xf>
    <xf numFmtId="0" fontId="0" fillId="4" borderId="1" pivotButton="0" quotePrefix="0" xfId="0"/>
    <xf numFmtId="0" fontId="0" fillId="0" borderId="4" pivotButton="0" quotePrefix="0" xfId="0"/>
    <xf numFmtId="0" fontId="0" fillId="5" borderId="1" pivotButton="0" quotePrefix="0" xfId="0"/>
    <xf numFmtId="0" fontId="0" fillId="6" borderId="1" pivotButton="0" quotePrefix="0" xfId="0"/>
    <xf numFmtId="0" fontId="6" fillId="0" borderId="0" applyAlignment="1" pivotButton="0" quotePrefix="0" xfId="0">
      <alignment wrapText="1"/>
    </xf>
    <xf numFmtId="0" fontId="7" fillId="2" borderId="1" applyAlignment="1" pivotButton="0" quotePrefix="0" xfId="0">
      <alignment horizontal="left" vertical="center"/>
    </xf>
    <xf numFmtId="0" fontId="5" fillId="0" borderId="1" pivotButton="0" quotePrefix="0" xfId="0"/>
    <xf numFmtId="9" fontId="8" fillId="5" borderId="1" applyAlignment="1" pivotButton="0" quotePrefix="0" xfId="0">
      <alignment horizontal="right"/>
    </xf>
    <xf numFmtId="0" fontId="6" fillId="0" borderId="1" applyAlignment="1" pivotButton="0" quotePrefix="0" xfId="0">
      <alignment horizontal="left" wrapText="1"/>
    </xf>
    <xf numFmtId="164" fontId="8" fillId="5" borderId="1" applyAlignment="1" pivotButton="0" quotePrefix="0" xfId="0">
      <alignment horizontal="right"/>
    </xf>
    <xf numFmtId="1" fontId="8" fillId="5" borderId="1" applyAlignment="1" pivotButton="0" quotePrefix="0" xfId="0">
      <alignment horizontal="right"/>
    </xf>
    <xf numFmtId="165" fontId="8" fillId="4" borderId="1" applyAlignment="1" pivotButton="0" quotePrefix="0" xfId="0">
      <alignment horizontal="right"/>
    </xf>
    <xf numFmtId="1" fontId="8" fillId="4" borderId="1" applyAlignment="1" pivotButton="0" quotePrefix="0" xfId="0">
      <alignment horizontal="right"/>
    </xf>
    <xf numFmtId="165" fontId="8" fillId="6" borderId="1" applyAlignment="1" pivotButton="0" quotePrefix="0" xfId="0">
      <alignment horizontal="right"/>
    </xf>
    <xf numFmtId="0" fontId="8" fillId="6" borderId="1" applyAlignment="1" pivotButton="0" quotePrefix="0" xfId="0">
      <alignment horizontal="right"/>
    </xf>
    <xf numFmtId="10" fontId="8" fillId="6" borderId="1" applyAlignment="1" pivotButton="0" quotePrefix="0" xfId="0">
      <alignment horizontal="right"/>
    </xf>
    <xf numFmtId="1" fontId="8" fillId="6" borderId="1" applyAlignment="1" pivotButton="0" quotePrefix="0" xfId="0">
      <alignment horizontal="right"/>
    </xf>
    <xf numFmtId="164" fontId="8" fillId="6" borderId="1" applyAlignment="1" pivotButton="0" quotePrefix="0" xfId="0">
      <alignment horizontal="right"/>
    </xf>
    <xf numFmtId="166" fontId="8" fillId="6" borderId="1" applyAlignment="1" pivotButton="0" quotePrefix="0" xfId="0">
      <alignment horizontal="right"/>
    </xf>
    <xf numFmtId="167" fontId="8" fillId="6" borderId="1" applyAlignment="1" pivotButton="0" quotePrefix="0" xfId="0">
      <alignment horizontal="right"/>
    </xf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DC2626"/>
        </patternFill>
      </fill>
    </dxf>
    <dxf>
      <fill>
        <patternFill patternType="solid">
          <fgColor rgb="00F9AC00"/>
        </patternFill>
      </fill>
    </dxf>
    <dxf>
      <fill>
        <patternFill patternType="solid">
          <fgColor rgb="0000CCB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 ht="26" customHeight="1">
      <c r="A1" s="1" t="inlineStr">
        <is>
          <t>Home Ready — Calculation Audit Workbook</t>
        </is>
      </c>
      <c r="B1" s="2" t="n"/>
    </row>
    <row r="2" ht="16" customHeight="1">
      <c r="A2" s="3" t="inlineStr">
        <is>
          <t>A live-formula replica of src/lib/calculations.ts — change anything on the Inputs sheet and every result recalculates.</t>
        </is>
      </c>
      <c r="B2" s="2" t="n"/>
    </row>
    <row r="4">
      <c r="A4" s="4" t="inlineStr">
        <is>
          <t>How this workbook is organized</t>
        </is>
      </c>
      <c r="B4" s="5" t="n"/>
    </row>
    <row r="6">
      <c r="A6" s="6" t="inlineStr">
        <is>
          <t>Legend</t>
        </is>
      </c>
      <c r="B6" s="7" t="inlineStr">
        <is>
          <t>This sheet.</t>
        </is>
      </c>
    </row>
    <row r="7">
      <c r="A7" s="6" t="inlineStr">
        <is>
          <t>Inputs</t>
        </is>
      </c>
      <c r="B7" s="7" t="inlineStr">
        <is>
          <t>Editable assumptions (orange) and questionnaire answers (yellow). Everything else reads from here.</t>
        </is>
      </c>
    </row>
    <row r="8">
      <c r="A8" s="6" t="inlineStr">
        <is>
          <t>Purchasing Power</t>
        </is>
      </c>
      <c r="B8" s="7" t="inlineStr">
        <is>
          <t>calculatePurchasingPower() — loan amount, budget zones.</t>
        </is>
      </c>
    </row>
    <row r="9">
      <c r="A9" s="6" t="inlineStr">
        <is>
          <t>Action Plan</t>
        </is>
      </c>
      <c r="B9" s="7" t="inlineStr">
        <is>
          <t>calculateActionPlan() — down-payment gap, timeline, emergency cushion, suggestion triggers.</t>
        </is>
      </c>
    </row>
    <row r="10">
      <c r="A10" s="6" t="inlineStr">
        <is>
          <t>Readiness Score</t>
        </is>
      </c>
      <c r="B10" s="7" t="inlineStr">
        <is>
          <t>calculateReadiness() — the three sub-scores and the final percent/status/archetype.</t>
        </is>
      </c>
    </row>
    <row r="11">
      <c r="A11" s="6" t="inlineStr">
        <is>
          <t>Dashboard</t>
        </is>
      </c>
      <c r="B11" s="7" t="inlineStr">
        <is>
          <t>Everything above pulled into one screen, mirroring the app's results page.</t>
        </is>
      </c>
    </row>
    <row r="13">
      <c r="A13" s="4" t="inlineStr">
        <is>
          <t>Color key</t>
        </is>
      </c>
      <c r="B13" s="5" t="n"/>
    </row>
    <row r="15">
      <c r="A15" s="8" t="inlineStr">
        <is>
          <t>Yellow — questionnaire input (edit freely)</t>
        </is>
      </c>
      <c r="B15" s="9" t="n"/>
    </row>
    <row r="16">
      <c r="A16" s="10" t="inlineStr">
        <is>
          <t>Orange — hardcoded assumption (edit to test sensitivity)</t>
        </is>
      </c>
      <c r="B16" s="9" t="n"/>
    </row>
    <row r="17">
      <c r="A17" s="11" t="inlineStr">
        <is>
          <t>Blue — calculated by formula (do not type over these)</t>
        </is>
      </c>
      <c r="B17" s="9" t="n"/>
    </row>
    <row r="19">
      <c r="A19" s="4" t="inlineStr">
        <is>
          <t>Known simplification</t>
        </is>
      </c>
      <c r="B19" s="5" t="n"/>
    </row>
    <row r="21" ht="45" customHeight="1">
      <c r="A21" s="12" t="inlineStr">
        <is>
          <t>The app also runs a live logic-preview and a bilingual (EN/TH) reference doc as web artifacts. This workbook covers the numeric engine only (no language switching, no UI) so the formulas can be checked cell-by-cell against calculations.ts.</t>
        </is>
      </c>
    </row>
  </sheetData>
  <mergeCells count="9">
    <mergeCell ref="A4:B4"/>
    <mergeCell ref="A21:B21"/>
    <mergeCell ref="A2:B2"/>
    <mergeCell ref="A16:B16"/>
    <mergeCell ref="A15:B15"/>
    <mergeCell ref="A19:B19"/>
    <mergeCell ref="A13:B13"/>
    <mergeCell ref="A1:B1"/>
    <mergeCell ref="A17:B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46" customWidth="1" min="3" max="3"/>
  </cols>
  <sheetData>
    <row r="1" ht="26" customHeight="1">
      <c r="A1" s="1" t="inlineStr">
        <is>
          <t>Inputs</t>
        </is>
      </c>
      <c r="B1" s="2" t="n"/>
      <c r="C1" s="2" t="n"/>
    </row>
    <row r="2" ht="16" customHeight="1">
      <c r="A2" s="3" t="inlineStr">
        <is>
          <t>Assumptions (orange) apply to every calculation. Questionnaire answers (yellow) are what one user typed in — change them to test any scenario.</t>
        </is>
      </c>
      <c r="B2" s="2" t="n"/>
      <c r="C2" s="2" t="n"/>
    </row>
    <row r="4">
      <c r="A4" s="4" t="inlineStr">
        <is>
          <t>Assumptions — DEFAULT_ASSUMPTIONS in finance.ts</t>
        </is>
      </c>
      <c r="B4" s="5" t="n"/>
      <c r="C4" s="5" t="n"/>
    </row>
    <row r="5">
      <c r="A5" s="13" t="inlineStr">
        <is>
          <t>Constant</t>
        </is>
      </c>
      <c r="B5" s="13" t="inlineStr">
        <is>
          <t>Value</t>
        </is>
      </c>
      <c r="C5" s="13" t="inlineStr">
        <is>
          <t>Note</t>
        </is>
      </c>
    </row>
    <row r="6">
      <c r="A6" s="14" t="inlineStr">
        <is>
          <t>Debt Service Ratio (DSR)</t>
        </is>
      </c>
      <c r="B6" s="15" t="n">
        <v>0.4</v>
      </c>
      <c r="C6" s="16" t="inlineStr">
        <is>
          <t>Max share of income counted toward all debt, incl. the new mortgage.</t>
        </is>
      </c>
    </row>
    <row r="7">
      <c r="A7" s="14" t="inlineStr">
        <is>
          <t>Annual Interest Rate</t>
        </is>
      </c>
      <c r="B7" s="15" t="n">
        <v>0.06</v>
      </c>
      <c r="C7" s="16" t="inlineStr">
        <is>
          <t>Flat rate for every loan term — not varied by 20/25/30y.</t>
        </is>
      </c>
    </row>
    <row r="8">
      <c r="A8" s="14" t="inlineStr">
        <is>
          <t>Down Payment Rate</t>
        </is>
      </c>
      <c r="B8" s="15" t="n">
        <v>0.1</v>
      </c>
      <c r="C8" s="16" t="inlineStr">
        <is>
          <t>Minimum down payment as a fraction of target home price.</t>
        </is>
      </c>
    </row>
    <row r="9">
      <c r="A9" s="14" t="inlineStr">
        <is>
          <t>Safe Budget Multiplier</t>
        </is>
      </c>
      <c r="B9" s="17" t="n">
        <v>0.85</v>
      </c>
      <c r="C9" s="16" t="inlineStr">
        <is>
          <t>Comfortable ceiling = 85% of computed home budget.</t>
        </is>
      </c>
    </row>
    <row r="10">
      <c r="A10" s="14" t="inlineStr">
        <is>
          <t>Stretch Budget Multiplier</t>
        </is>
      </c>
      <c r="B10" s="17" t="n">
        <v>1</v>
      </c>
      <c r="C10" s="16" t="inlineStr">
        <is>
          <t>Exactly at computed capacity.</t>
        </is>
      </c>
    </row>
    <row r="11">
      <c r="A11" s="14" t="inlineStr">
        <is>
          <t>Risk Zone Multiplier</t>
        </is>
      </c>
      <c r="B11" s="17" t="n">
        <v>1.06</v>
      </c>
      <c r="C11" s="16" t="inlineStr">
        <is>
          <t>Above this, a price is flagged as meaningfully over budget.</t>
        </is>
      </c>
    </row>
    <row r="12">
      <c r="A12" s="14" t="inlineStr">
        <is>
          <t>Emergency Cushion Target (months)</t>
        </is>
      </c>
      <c r="B12" s="18" t="n">
        <v>3</v>
      </c>
      <c r="C12" s="16" t="inlineStr">
        <is>
          <t>Months of post-purchase obligations wanted in reserve after the down payment.</t>
        </is>
      </c>
    </row>
    <row r="14">
      <c r="A14" s="4" t="inlineStr">
        <is>
          <t>Questionnaire answers — QuestionnaireAnswers in finance.ts</t>
        </is>
      </c>
      <c r="B14" s="5" t="n"/>
      <c r="C14" s="5" t="n"/>
    </row>
    <row r="15">
      <c r="A15" s="13" t="inlineStr">
        <is>
          <t>Field</t>
        </is>
      </c>
      <c r="B15" s="13" t="inlineStr">
        <is>
          <t>Value</t>
        </is>
      </c>
      <c r="C15" s="13" t="inlineStr">
        <is>
          <t>Note</t>
        </is>
      </c>
    </row>
    <row r="16">
      <c r="A16" s="14" t="inlineStr">
        <is>
          <t>Primary monthly income</t>
        </is>
      </c>
      <c r="B16" s="19" t="n">
        <v>35000</v>
      </c>
      <c r="C16" s="16" t="inlineStr">
        <is>
          <t>Take-home pay before rent, debt, or savings.</t>
        </is>
      </c>
    </row>
    <row r="17">
      <c r="A17" s="14" t="inlineStr">
        <is>
          <t>Extra monthly income</t>
        </is>
      </c>
      <c r="B17" s="19" t="n">
        <v>0</v>
      </c>
      <c r="C17" s="16" t="inlineStr">
        <is>
          <t>Side income, freelance, or a co-borrower's contribution.</t>
        </is>
      </c>
    </row>
    <row r="18">
      <c r="A18" s="14" t="inlineStr">
        <is>
          <t>Total monthly debt payment</t>
        </is>
      </c>
      <c r="B18" s="19" t="n">
        <v>3000</v>
      </c>
      <c r="C18" s="16" t="inlineStr">
        <is>
          <t>Car loans, credit cards, personal loans, etc.</t>
        </is>
      </c>
    </row>
    <row r="19">
      <c r="A19" s="14" t="inlineStr">
        <is>
          <t>Total current savings</t>
        </is>
      </c>
      <c r="B19" s="19" t="n">
        <v>150000</v>
      </c>
      <c r="C19" s="16" t="inlineStr">
        <is>
          <t>All savings, including money for other goals/emergency fund.</t>
        </is>
      </c>
    </row>
    <row r="20">
      <c r="A20" s="14" t="inlineStr">
        <is>
          <t>Available for a down payment</t>
        </is>
      </c>
      <c r="B20" s="19" t="n">
        <v>100000</v>
      </c>
      <c r="C20" s="16" t="inlineStr">
        <is>
          <t>Cash actually earmarked for the home. Must be ≤ total savings.</t>
        </is>
      </c>
    </row>
    <row r="21">
      <c r="A21" s="14" t="inlineStr">
        <is>
          <t>Monthly saving capacity</t>
        </is>
      </c>
      <c r="B21" s="19" t="n">
        <v>8000</v>
      </c>
      <c r="C21" s="16" t="inlineStr">
        <is>
          <t>How much can be saved per month toward the gap.</t>
        </is>
      </c>
    </row>
    <row r="22">
      <c r="A22" s="14" t="inlineStr">
        <is>
          <t>Max comfortable installment</t>
        </is>
      </c>
      <c r="B22" s="19" t="n">
        <v>12000</v>
      </c>
      <c r="C22" s="16" t="inlineStr">
        <is>
          <t>Personal ceiling — can be lower than the bank's DSR ceiling.</t>
        </is>
      </c>
    </row>
    <row r="23">
      <c r="A23" s="14" t="inlineStr">
        <is>
          <t>Target home price</t>
        </is>
      </c>
      <c r="B23" s="19" t="n">
        <v>3000000</v>
      </c>
      <c r="C23" s="16" t="inlineStr">
        <is>
          <t>The price of the home being evaluated.</t>
        </is>
      </c>
    </row>
    <row r="24">
      <c r="A24" s="14" t="inlineStr">
        <is>
          <t>Target timeline (months)</t>
        </is>
      </c>
      <c r="B24" s="20" t="n">
        <v>24</v>
      </c>
      <c r="C24" s="16" t="inlineStr">
        <is>
          <t>How soon the user wants to buy.</t>
        </is>
      </c>
    </row>
    <row r="25">
      <c r="A25" s="14" t="inlineStr">
        <is>
          <t>Loan term (years)</t>
        </is>
      </c>
      <c r="B25" s="20" t="n">
        <v>30</v>
      </c>
      <c r="C25" s="16" t="inlineStr">
        <is>
          <t>20, 25, or 30 — pick from the dropdown.</t>
        </is>
      </c>
    </row>
  </sheetData>
  <mergeCells count="4">
    <mergeCell ref="A1:C1"/>
    <mergeCell ref="A4:C4"/>
    <mergeCell ref="A14:C14"/>
    <mergeCell ref="A2:C2"/>
  </mergeCells>
  <conditionalFormatting sqref="B20">
    <cfRule type="expression" priority="1" dxfId="0">
      <formula>$B$20&gt;$B$19</formula>
    </cfRule>
  </conditionalFormatting>
  <dataValidations count="1">
    <dataValidation sqref="B25" showDropDown="0" showInputMessage="0" showErrorMessage="0" allowBlank="0" error="Loan term must be 20, 25, or 30 years." prompt="Choose 20, 25, or 30." type="list">
      <formula1>"20,25,30"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52" customWidth="1" min="3" max="3"/>
  </cols>
  <sheetData>
    <row r="1" ht="26" customHeight="1">
      <c r="A1" s="1" t="inlineStr">
        <is>
          <t>Purchasing Power</t>
        </is>
      </c>
      <c r="B1" s="2" t="n"/>
      <c r="C1" s="2" t="n"/>
    </row>
    <row r="2" ht="16" customHeight="1">
      <c r="A2" s="3" t="inlineStr">
        <is>
          <t>calculatePurchasingPower() in calculations.ts — every Value cell below is a live formula, not a pasted number.</t>
        </is>
      </c>
      <c r="B2" s="2" t="n"/>
      <c r="C2" s="2" t="n"/>
    </row>
    <row r="4">
      <c r="A4" s="13" t="inlineStr">
        <is>
          <t>Step</t>
        </is>
      </c>
      <c r="B4" s="13" t="inlineStr">
        <is>
          <t>Value</t>
        </is>
      </c>
      <c r="C4" s="13" t="inlineStr">
        <is>
          <t>Formula (as written in calculations.ts)</t>
        </is>
      </c>
    </row>
    <row r="5">
      <c r="A5" s="14" t="inlineStr">
        <is>
          <t>Total income</t>
        </is>
      </c>
      <c r="B5" s="21">
        <f>MonthlyIncome+ExtraMonthlyIncome</f>
        <v/>
      </c>
      <c r="C5" s="16" t="inlineStr">
        <is>
          <t>monthlyIncome + extraMonthlyIncome</t>
        </is>
      </c>
    </row>
    <row r="6">
      <c r="A6" s="14" t="inlineStr">
        <is>
          <t>DSR ceiling</t>
        </is>
      </c>
      <c r="B6" s="21">
        <f>TotalIncome*DebtServiceRatio</f>
        <v/>
      </c>
      <c r="C6" s="16" t="inlineStr">
        <is>
          <t>totalIncome × debtServiceRatio</t>
        </is>
      </c>
    </row>
    <row r="7">
      <c r="A7" s="14" t="inlineStr">
        <is>
          <t>Affordable monthly payment</t>
        </is>
      </c>
      <c r="B7" s="21">
        <f>MAX(0,DsrCeiling-MonthlyDebtPayment)</f>
        <v/>
      </c>
      <c r="C7" s="16" t="inlineStr">
        <is>
          <t>max(0, dsrCeiling − monthlyDebtPayment)</t>
        </is>
      </c>
    </row>
    <row r="8">
      <c r="A8" s="14" t="inlineStr">
        <is>
          <t>Is comfort-limited?</t>
        </is>
      </c>
      <c r="B8" s="22">
        <f>AND(MaxComfortableInstallment&gt;0,MaxComfortableInstallment&lt;AffordableMonthlyPayment)</f>
        <v/>
      </c>
      <c r="C8" s="16" t="inlineStr">
        <is>
          <t>user's own ceiling binds instead of the bank's DSR ceiling</t>
        </is>
      </c>
    </row>
    <row r="9">
      <c r="A9" s="14" t="inlineStr">
        <is>
          <t>Recommended monthly installment</t>
        </is>
      </c>
      <c r="B9" s="21">
        <f>IF(MaxComfortableInstallment&gt;0,MIN(AffordableMonthlyPayment,MaxComfortableInstallment),AffordableMonthlyPayment)</f>
        <v/>
      </c>
      <c r="C9" s="16" t="inlineStr">
        <is>
          <t>min(affordable, comfortCeiling) if a comfort ceiling was set, else affordable</t>
        </is>
      </c>
    </row>
    <row r="10">
      <c r="A10" s="14" t="inlineStr">
        <is>
          <t>Monthly interest rate</t>
        </is>
      </c>
      <c r="B10" s="23">
        <f>AnnualInterestRate/12</f>
        <v/>
      </c>
      <c r="C10" s="16" t="inlineStr">
        <is>
          <t>annualInterestRate / 12 (loanFactor)</t>
        </is>
      </c>
    </row>
    <row r="11">
      <c r="A11" s="14" t="inlineStr">
        <is>
          <t>Number of payments</t>
        </is>
      </c>
      <c r="B11" s="24">
        <f>LoanTermYears*12</f>
        <v/>
      </c>
      <c r="C11" s="16" t="inlineStr">
        <is>
          <t>loanTermYears × 12 (loanFactor)</t>
        </is>
      </c>
    </row>
    <row r="12">
      <c r="A12" s="14" t="inlineStr">
        <is>
          <t>Loan factor (annuity)</t>
        </is>
      </c>
      <c r="B12" s="25">
        <f>(1-(1+MonthlyRate)^(-NumPayments))/MonthlyRate</f>
        <v/>
      </c>
      <c r="C12" s="16" t="inlineStr">
        <is>
          <t>(1 − (1 + r)^−n) / r — replaces the spec's fixed ×167 multiplier</t>
        </is>
      </c>
    </row>
    <row r="13">
      <c r="A13" s="14" t="inlineStr">
        <is>
          <t>Estimated loan amount</t>
        </is>
      </c>
      <c r="B13" s="21">
        <f>RecommendedMonthlyInstallment*LoanFactor</f>
        <v/>
      </c>
      <c r="C13" s="16" t="inlineStr">
        <is>
          <t>recommendedMonthlyInstallment × loanFactor</t>
        </is>
      </c>
    </row>
    <row r="14">
      <c r="A14" s="14" t="inlineStr">
        <is>
          <t>Current home budget</t>
        </is>
      </c>
      <c r="B14" s="21">
        <f>EstimatedLoanAmount+AvailableDownPayment</f>
        <v/>
      </c>
      <c r="C14" s="16" t="inlineStr">
        <is>
          <t>estimatedLoanAmount + availableDownPayment</t>
        </is>
      </c>
    </row>
    <row r="15">
      <c r="A15" s="14" t="inlineStr">
        <is>
          <t>Safe budget</t>
        </is>
      </c>
      <c r="B15" s="21">
        <f>CurrentHomeBudget*SafeBudgetMultiplier</f>
        <v/>
      </c>
      <c r="C15" s="16" t="inlineStr">
        <is>
          <t>currentHomeBudget × 0.85</t>
        </is>
      </c>
    </row>
    <row r="16">
      <c r="A16" s="14" t="inlineStr">
        <is>
          <t>Stretch budget</t>
        </is>
      </c>
      <c r="B16" s="21">
        <f>CurrentHomeBudget*StretchBudgetMultiplier</f>
        <v/>
      </c>
      <c r="C16" s="16" t="inlineStr">
        <is>
          <t>currentHomeBudget × 1.00</t>
        </is>
      </c>
    </row>
    <row r="17">
      <c r="A17" s="14" t="inlineStr">
        <is>
          <t>Risk zone threshold</t>
        </is>
      </c>
      <c r="B17" s="21">
        <f>CurrentHomeBudget*RiskZoneMultiplier</f>
        <v/>
      </c>
      <c r="C17" s="16" t="inlineStr">
        <is>
          <t>currentHomeBudget × 1.06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52" customWidth="1" min="3" max="3"/>
  </cols>
  <sheetData>
    <row r="1" ht="26" customHeight="1">
      <c r="A1" s="1" t="inlineStr">
        <is>
          <t>Action Plan</t>
        </is>
      </c>
      <c r="B1" s="2" t="n"/>
      <c r="C1" s="2" t="n"/>
    </row>
    <row r="2" ht="16" customHeight="1">
      <c r="A2" s="3" t="inlineStr">
        <is>
          <t>calculateActionPlan() in calculations.ts — the down-payment gap, timeline, emergency cushion, and every suggestion trigger.</t>
        </is>
      </c>
      <c r="B2" s="2" t="n"/>
      <c r="C2" s="2" t="n"/>
    </row>
    <row r="4">
      <c r="A4" s="13" t="inlineStr">
        <is>
          <t>Step</t>
        </is>
      </c>
      <c r="B4" s="13" t="inlineStr">
        <is>
          <t>Value</t>
        </is>
      </c>
      <c r="C4" s="13" t="inlineStr">
        <is>
          <t>Formula (as written in calculations.ts)</t>
        </is>
      </c>
    </row>
    <row r="5">
      <c r="A5" s="14" t="inlineStr">
        <is>
          <t>Required down payment</t>
        </is>
      </c>
      <c r="B5" s="21">
        <f>TargetHomePrice*DownPaymentRate</f>
        <v/>
      </c>
      <c r="C5" s="16" t="inlineStr">
        <is>
          <t>targetHomePrice × downPaymentRate</t>
        </is>
      </c>
    </row>
    <row r="6">
      <c r="A6" s="14" t="inlineStr">
        <is>
          <t>Cash gap</t>
        </is>
      </c>
      <c r="B6" s="21">
        <f>MAX(0,RequiredDownPayment-AvailableDownPayment)</f>
        <v/>
      </c>
      <c r="C6" s="16" t="inlineStr">
        <is>
          <t>max(0, requiredDownPayment − availableDownPayment)</t>
        </is>
      </c>
    </row>
    <row r="7">
      <c r="A7" s="14" t="inlineStr">
        <is>
          <t>Is down payment ready?</t>
        </is>
      </c>
      <c r="B7" s="22">
        <f>CashGap=0</f>
        <v/>
      </c>
      <c r="C7" s="16" t="inlineStr">
        <is>
          <t>cashGap === 0</t>
        </is>
      </c>
    </row>
    <row r="8">
      <c r="A8" s="14" t="inlineStr">
        <is>
          <t>Months to ready</t>
        </is>
      </c>
      <c r="B8" s="24">
        <f>IF(CashGap=0,0,IF(MonthlySavingCapacity&gt;0,ROUNDUP(CashGap/MonthlySavingCapacity,0),NA()))</f>
        <v/>
      </c>
      <c r="C8" s="16" t="inlineStr">
        <is>
          <t>0 if ready; ceil(gap / monthlySaving) if saving &gt; 0; otherwise #N/A = "not achievable" (matches the app's null)</t>
        </is>
      </c>
    </row>
    <row r="9">
      <c r="A9" s="14" t="inlineStr">
        <is>
          <t>Years to ready</t>
        </is>
      </c>
      <c r="B9" s="25">
        <f>IF(ISNA(MonthsToReady),NA(),ROUND(MonthsToReady/12,1))</f>
        <v/>
      </c>
      <c r="C9" s="16" t="inlineStr">
        <is>
          <t>round(monthsToReady / 12, 1)</t>
        </is>
      </c>
    </row>
    <row r="10">
      <c r="A10" s="14" t="inlineStr">
        <is>
          <t>Is on target timeline?</t>
        </is>
      </c>
      <c r="B10" s="22">
        <f>IF(ISNA(MonthsToReady),"N/A",MonthsToReady&lt;=TargetTimelineMonths)</f>
        <v/>
      </c>
      <c r="C10" s="16" t="inlineStr">
        <is>
          <t>monthsToReady ≤ targetTimelineMonths (N/A if not achievable)</t>
        </is>
      </c>
    </row>
    <row r="11">
      <c r="A11" s="14" t="inlineStr">
        <is>
          <t>Emergency cushion</t>
        </is>
      </c>
      <c r="B11" s="21">
        <f>MAX(0,TotalSavings-AvailableDownPayment)</f>
        <v/>
      </c>
      <c r="C11" s="16" t="inlineStr">
        <is>
          <t>max(0, totalSavings − availableDownPayment)</t>
        </is>
      </c>
    </row>
    <row r="12">
      <c r="A12" s="14" t="inlineStr">
        <is>
          <t>Monthly obligations after purchase</t>
        </is>
      </c>
      <c r="B12" s="21">
        <f>MonthlyDebtPayment+RecommendedMonthlyInstallment</f>
        <v/>
      </c>
      <c r="C12" s="16" t="inlineStr">
        <is>
          <t>monthlyDebtPayment + recommendedMonthlyInstallment</t>
        </is>
      </c>
    </row>
    <row r="13">
      <c r="A13" s="14" t="inlineStr">
        <is>
          <t>Recommended cushion (3 months)</t>
        </is>
      </c>
      <c r="B13" s="21">
        <f>MonthlyObligationsAfterPurchase*EmergencyCushionMonths</f>
        <v/>
      </c>
      <c r="C13" s="16" t="inlineStr">
        <is>
          <t>monthlyObligationsAfterPurchase × 3</t>
        </is>
      </c>
    </row>
    <row r="15">
      <c r="A15" s="4" t="inlineStr">
        <is>
          <t>Suggestion triggers — alternativeSuggestions[], checked in this order</t>
        </is>
      </c>
      <c r="B15" s="5" t="n"/>
      <c r="C15" s="5" t="n"/>
    </row>
    <row r="16">
      <c r="A16" s="13" t="inlineStr">
        <is>
          <t>Suggestion key</t>
        </is>
      </c>
      <c r="B16" s="13" t="inlineStr">
        <is>
          <t>Active?</t>
        </is>
      </c>
      <c r="C16" s="13" t="inlineStr">
        <is>
          <t>Trigger condition</t>
        </is>
      </c>
    </row>
    <row r="17">
      <c r="A17" s="14" t="inlineStr">
        <is>
          <t>over-risk-budget</t>
        </is>
      </c>
      <c r="B17" s="22">
        <f>TargetHomePrice&gt;RiskZoneThreshold</f>
        <v/>
      </c>
      <c r="C17" s="16" t="inlineStr">
        <is>
          <t>targetHomePrice &gt; riskZoneThreshold</t>
        </is>
      </c>
    </row>
    <row r="18">
      <c r="A18" s="14" t="inlineStr">
        <is>
          <t>stretch-zone</t>
        </is>
      </c>
      <c r="B18" s="22">
        <f>AND(NOT(Suggestion_OverRiskBudget),TargetHomePrice&gt;StretchBudget)</f>
        <v/>
      </c>
      <c r="C18" s="16" t="inlineStr">
        <is>
          <t>targetHomePrice &gt; stretchBudget (else-if: only when over-risk-budget is false)</t>
        </is>
      </c>
    </row>
    <row r="19">
      <c r="A19" s="14" t="inlineStr">
        <is>
          <t>timeline-shortfall</t>
        </is>
      </c>
      <c r="B19" s="22">
        <f>IF(ISNA(MonthsToReady),FALSE,MonthsToReady&gt;TargetTimelineMonths)</f>
        <v/>
      </c>
      <c r="C19" s="16" t="inlineStr">
        <is>
          <t>monthsToReady &gt; targetTimelineMonths</t>
        </is>
      </c>
    </row>
    <row r="20">
      <c r="A20" s="14" t="inlineStr">
        <is>
          <t>no-saving-plan</t>
        </is>
      </c>
      <c r="B20" s="22">
        <f>AND(ISNA(MonthsToReady),CashGap&gt;0)</f>
        <v/>
      </c>
      <c r="C20" s="16" t="inlineStr">
        <is>
          <t>monthsToReady is not achievable AND a real cash gap exists</t>
        </is>
      </c>
    </row>
    <row r="21">
      <c r="A21" s="14" t="inlineStr">
        <is>
          <t>comfort-limited</t>
        </is>
      </c>
      <c r="B21" s="22">
        <f>IsComfortLimited</f>
        <v/>
      </c>
      <c r="C21" s="16" t="inlineStr">
        <is>
          <t>purchasingPower.isComfortLimited</t>
        </is>
      </c>
    </row>
    <row r="22">
      <c r="A22" s="14" t="inlineStr">
        <is>
          <t>low-emergency-cushion</t>
        </is>
      </c>
      <c r="B22" s="22">
        <f>AND(RecommendedCushion&gt;0,EmergencyCushion&lt;RecommendedCushion)</f>
        <v/>
      </c>
      <c r="C22" s="16" t="inlineStr">
        <is>
          <t>recommendedCushion &gt; 0 AND emergencyCushion &lt; recommendedCushion</t>
        </is>
      </c>
    </row>
  </sheetData>
  <mergeCells count="3">
    <mergeCell ref="A1:C1"/>
    <mergeCell ref="A2:C2"/>
    <mergeCell ref="A15:C15"/>
  </mergeCells>
  <conditionalFormatting sqref="B17">
    <cfRule type="cellIs" priority="1" operator="equal" dxfId="1">
      <formula>TRUE</formula>
    </cfRule>
  </conditionalFormatting>
  <conditionalFormatting sqref="B18">
    <cfRule type="cellIs" priority="2" operator="equal" dxfId="1">
      <formula>TRUE</formula>
    </cfRule>
  </conditionalFormatting>
  <conditionalFormatting sqref="B19">
    <cfRule type="cellIs" priority="3" operator="equal" dxfId="1">
      <formula>TRUE</formula>
    </cfRule>
  </conditionalFormatting>
  <conditionalFormatting sqref="B20">
    <cfRule type="cellIs" priority="4" operator="equal" dxfId="1">
      <formula>TRUE</formula>
    </cfRule>
  </conditionalFormatting>
  <conditionalFormatting sqref="B21">
    <cfRule type="cellIs" priority="5" operator="equal" dxfId="1">
      <formula>TRUE</formula>
    </cfRule>
  </conditionalFormatting>
  <conditionalFormatting sqref="B22">
    <cfRule type="cellIs" priority="6" operator="equal" dxfId="1">
      <formula>TRUE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52" customWidth="1" min="3" max="3"/>
  </cols>
  <sheetData>
    <row r="1" ht="26" customHeight="1">
      <c r="A1" s="1" t="inlineStr">
        <is>
          <t>Readiness Score</t>
        </is>
      </c>
      <c r="B1" s="2" t="n"/>
      <c r="C1" s="2" t="n"/>
    </row>
    <row r="2" ht="16" customHeight="1">
      <c r="A2" s="3" t="inlineStr">
        <is>
          <t>calculateReadiness() in calculations.ts — three equal-weighted sub-scores, then the status/archetype thresholds.</t>
        </is>
      </c>
      <c r="B2" s="2" t="n"/>
      <c r="C2" s="2" t="n"/>
    </row>
    <row r="4">
      <c r="A4" s="13" t="inlineStr">
        <is>
          <t>Sub-score</t>
        </is>
      </c>
      <c r="B4" s="13" t="inlineStr">
        <is>
          <t>Value</t>
        </is>
      </c>
      <c r="C4" s="13" t="inlineStr">
        <is>
          <t>Formula (as written in calculations.ts)</t>
        </is>
      </c>
    </row>
    <row r="5">
      <c r="A5" s="14" t="inlineStr">
        <is>
          <t>Down payment coverage</t>
        </is>
      </c>
      <c r="B5" s="26">
        <f>IF(RequiredDownPayment&gt;0,MIN(100,MAX(0,AvailableDownPayment/RequiredDownPayment*100)),100)</f>
        <v/>
      </c>
      <c r="C5" s="16" t="inlineStr">
        <is>
          <t>availableDownPayment / requiredDownPayment × 100, clamped 0–100</t>
        </is>
      </c>
    </row>
    <row r="6">
      <c r="A6" s="14" t="inlineStr">
        <is>
          <t>Budget fit</t>
        </is>
      </c>
      <c r="B6" s="26">
        <f>IF(TargetHomePrice&gt;0,MIN(100,MAX(0,CurrentHomeBudget/TargetHomePrice*100)),100)</f>
        <v/>
      </c>
      <c r="C6" s="16" t="inlineStr">
        <is>
          <t>currentHomeBudget / targetHomePrice × 100, clamped 0–100</t>
        </is>
      </c>
    </row>
    <row r="7">
      <c r="A7" s="14" t="inlineStr">
        <is>
          <t>Timeline fit</t>
        </is>
      </c>
      <c r="B7" s="26">
        <f>IF(ISNA(MonthsToReady),0,IF(MonthsToReady=0,100,IF(TargetTimelineMonths&lt;=0,0,MIN(100,MAX(0,TargetTimelineMonths/MonthsToReady*100)))))</f>
        <v/>
      </c>
      <c r="C7" s="16" t="inlineStr">
        <is>
          <t>100 if already ready; 0 if unreachable; else targetTimelineMonths / monthsToReady × 100</t>
        </is>
      </c>
    </row>
    <row r="9">
      <c r="A9" s="14" t="inlineStr">
        <is>
          <t>Readiness percent</t>
        </is>
      </c>
      <c r="B9" s="27">
        <f>ROUND((DownPaymentCoverage+BudgetFit+TimelineFit)/3,0)</f>
        <v/>
      </c>
      <c r="C9" s="16" t="inlineStr">
        <is>
          <t>round(average of the three sub-scores)</t>
        </is>
      </c>
    </row>
    <row r="10">
      <c r="A10" s="14" t="inlineStr">
        <is>
          <t>Status</t>
        </is>
      </c>
      <c r="B10" s="22">
        <f>IF(ReadinessPercent&gt;=85,"Ready",IF(ReadinessPercent&gt;=45,"Almost Ready","Not Ready Yet"))</f>
        <v/>
      </c>
      <c r="C10" s="16" t="inlineStr">
        <is>
          <t>≥85 Ready · ≥45 Almost Ready · else Not Ready Yet</t>
        </is>
      </c>
    </row>
    <row r="11">
      <c r="A11" s="14" t="inlineStr">
        <is>
          <t>Archetype</t>
        </is>
      </c>
      <c r="B11" s="22">
        <f>IF(ReadinessPercent&gt;=85,"Buy Now",IF(ReadinessPercent&gt;=65,"Near Ready",IF(ReadinessPercent&gt;=45,"Emerging Buyer",IF(ReadinessPercent&gt;=25,"Early Preparation","Rent for Now"))))</f>
        <v/>
      </c>
      <c r="C11" s="16" t="inlineStr">
        <is>
          <t>≥85 Buy Now · ≥65 Near Ready · ≥45 Emerging Buyer · ≥25 Early Preparation · else Rent for Now</t>
        </is>
      </c>
    </row>
  </sheetData>
  <mergeCells count="2">
    <mergeCell ref="A1:C1"/>
    <mergeCell ref="A2:C2"/>
  </mergeCells>
  <conditionalFormatting sqref="B11">
    <cfRule type="expression" priority="1" dxfId="2">
      <formula>$B$11="Ready"</formula>
    </cfRule>
    <cfRule type="expression" priority="2" dxfId="1">
      <formula>$B$11="Almost Ready"</formula>
    </cfRule>
    <cfRule type="expression" priority="3" dxfId="0">
      <formula>$B$11="Not Ready Yet"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50" customWidth="1" min="3" max="3"/>
  </cols>
  <sheetData>
    <row r="1" ht="26" customHeight="1">
      <c r="A1" s="1" t="inlineStr">
        <is>
          <t>Dashboard</t>
        </is>
      </c>
      <c r="B1" s="2" t="n"/>
      <c r="C1" s="2" t="n"/>
    </row>
    <row r="2" ht="16" customHeight="1">
      <c r="A2" s="3" t="inlineStr">
        <is>
          <t>Everything above, pulled into one screen — mirrors the app's results page. Nothing here is typed; go to Inputs to change a scenario.</t>
        </is>
      </c>
      <c r="B2" s="2" t="n"/>
      <c r="C2" s="2" t="n"/>
    </row>
    <row r="4">
      <c r="A4" s="4" t="inlineStr">
        <is>
          <t>Home readiness score</t>
        </is>
      </c>
      <c r="B4" s="5" t="n"/>
      <c r="C4" s="5" t="n"/>
    </row>
    <row r="5">
      <c r="A5" s="14" t="inlineStr">
        <is>
          <t>Readiness percent</t>
        </is>
      </c>
      <c r="B5" s="27">
        <f>ReadinessPercent</f>
        <v/>
      </c>
      <c r="C5" s="16" t="inlineStr"/>
    </row>
    <row r="6">
      <c r="A6" s="14" t="inlineStr">
        <is>
          <t>Status</t>
        </is>
      </c>
      <c r="B6" s="22">
        <f>Status</f>
        <v/>
      </c>
      <c r="C6" s="16" t="inlineStr"/>
    </row>
    <row r="7">
      <c r="A7" s="14" t="inlineStr">
        <is>
          <t>Archetype</t>
        </is>
      </c>
      <c r="B7" s="22">
        <f>Archetype</f>
        <v/>
      </c>
      <c r="C7" s="16" t="inlineStr"/>
    </row>
    <row r="8">
      <c r="A8" s="14" t="inlineStr">
        <is>
          <t>Down payment coverage</t>
        </is>
      </c>
      <c r="B8" s="26">
        <f>DownPaymentCoverage</f>
        <v/>
      </c>
      <c r="C8" s="16" t="inlineStr"/>
    </row>
    <row r="9">
      <c r="A9" s="14" t="inlineStr">
        <is>
          <t>Budget fit</t>
        </is>
      </c>
      <c r="B9" s="26">
        <f>BudgetFit</f>
        <v/>
      </c>
      <c r="C9" s="16" t="inlineStr"/>
    </row>
    <row r="10">
      <c r="A10" s="14" t="inlineStr">
        <is>
          <t>Timeline fit</t>
        </is>
      </c>
      <c r="B10" s="26">
        <f>TimelineFit</f>
        <v/>
      </c>
      <c r="C10" s="16" t="inlineStr"/>
    </row>
    <row r="12">
      <c r="A12" s="4" t="inlineStr">
        <is>
          <t>Your purchasing power</t>
        </is>
      </c>
      <c r="B12" s="5" t="n"/>
      <c r="C12" s="5" t="n"/>
    </row>
    <row r="13">
      <c r="A13" s="14" t="inlineStr">
        <is>
          <t>Estimated loan amount</t>
        </is>
      </c>
      <c r="B13" s="21">
        <f>EstimatedLoanAmount</f>
        <v/>
      </c>
      <c r="C13" s="16" t="inlineStr"/>
    </row>
    <row r="14">
      <c r="A14" s="14" t="inlineStr">
        <is>
          <t>Recommended monthly installment</t>
        </is>
      </c>
      <c r="B14" s="21">
        <f>RecommendedMonthlyInstallment</f>
        <v/>
      </c>
      <c r="C14" s="16" t="inlineStr"/>
    </row>
    <row r="15">
      <c r="A15" s="14" t="inlineStr">
        <is>
          <t xml:space="preserve">  ↳ capped by comfort ceiling, not the bank?</t>
        </is>
      </c>
      <c r="B15" s="22">
        <f>IsComfortLimited</f>
        <v/>
      </c>
      <c r="C15" s="16" t="inlineStr"/>
    </row>
    <row r="16">
      <c r="A16" s="14" t="inlineStr">
        <is>
          <t>Current home budget</t>
        </is>
      </c>
      <c r="B16" s="21">
        <f>CurrentHomeBudget</f>
        <v/>
      </c>
      <c r="C16" s="16" t="inlineStr"/>
    </row>
    <row r="17">
      <c r="A17" s="14" t="inlineStr">
        <is>
          <t>Safe budget (≤)</t>
        </is>
      </c>
      <c r="B17" s="21">
        <f>SafeBudget</f>
        <v/>
      </c>
      <c r="C17" s="16" t="inlineStr"/>
    </row>
    <row r="18">
      <c r="A18" s="14" t="inlineStr">
        <is>
          <t>Stretch budget (≤)</t>
        </is>
      </c>
      <c r="B18" s="21">
        <f>StretchBudget</f>
        <v/>
      </c>
      <c r="C18" s="16" t="inlineStr"/>
    </row>
    <row r="19">
      <c r="A19" s="14" t="inlineStr">
        <is>
          <t>Risk zone (above)</t>
        </is>
      </c>
      <c r="B19" s="21">
        <f>RiskZoneThreshold</f>
        <v/>
      </c>
      <c r="C19" s="16" t="inlineStr"/>
    </row>
    <row r="20">
      <c r="A20" s="14" t="inlineStr">
        <is>
          <t>Target home price vs. budget</t>
        </is>
      </c>
      <c r="B20" s="22">
        <f>IF(TargetHomePrice&gt;RiskZoneThreshold,"Over risk zone",IF(TargetHomePrice&gt;StretchBudget,"In stretch zone","In safe zone"))</f>
        <v/>
      </c>
      <c r="C20" s="16" t="inlineStr"/>
    </row>
    <row r="22">
      <c r="A22" s="4" t="inlineStr">
        <is>
          <t>Ready gap &amp; action plan</t>
        </is>
      </c>
      <c r="B22" s="5" t="n"/>
      <c r="C22" s="5" t="n"/>
    </row>
    <row r="23">
      <c r="A23" s="14" t="inlineStr">
        <is>
          <t>Required down payment</t>
        </is>
      </c>
      <c r="B23" s="21">
        <f>RequiredDownPayment</f>
        <v/>
      </c>
      <c r="C23" s="16" t="inlineStr"/>
    </row>
    <row r="24">
      <c r="A24" s="14" t="inlineStr">
        <is>
          <t>Cash gap</t>
        </is>
      </c>
      <c r="B24" s="21">
        <f>CashGap</f>
        <v/>
      </c>
      <c r="C24" s="16" t="inlineStr"/>
    </row>
    <row r="25">
      <c r="A25" s="14" t="inlineStr">
        <is>
          <t>Is down payment ready?</t>
        </is>
      </c>
      <c r="B25" s="22">
        <f>IsDownPaymentReady</f>
        <v/>
      </c>
      <c r="C25" s="16" t="inlineStr"/>
    </row>
    <row r="26">
      <c r="A26" s="14" t="inlineStr">
        <is>
          <t>Months to ready</t>
        </is>
      </c>
      <c r="B26" s="22">
        <f>IFERROR(MonthsToReady,"Not achievable at $0/mo saving")</f>
        <v/>
      </c>
      <c r="C26" s="16" t="inlineStr"/>
    </row>
    <row r="27">
      <c r="A27" s="14" t="inlineStr">
        <is>
          <t>Years to ready</t>
        </is>
      </c>
      <c r="B27" s="22">
        <f>IFERROR(YearsToReady,"—")</f>
        <v/>
      </c>
      <c r="C27" s="16" t="inlineStr"/>
    </row>
    <row r="28">
      <c r="A28" s="14" t="inlineStr">
        <is>
          <t>Emergency cushion available</t>
        </is>
      </c>
      <c r="B28" s="21">
        <f>EmergencyCushion</f>
        <v/>
      </c>
      <c r="C28" s="16" t="inlineStr"/>
    </row>
    <row r="29">
      <c r="A29" s="14" t="inlineStr">
        <is>
          <t>Emergency cushion recommended (3mo)</t>
        </is>
      </c>
      <c r="B29" s="21">
        <f>RecommendedCushion</f>
        <v/>
      </c>
      <c r="C29" s="16" t="inlineStr"/>
    </row>
    <row r="31">
      <c r="A31" s="4" t="inlineStr">
        <is>
          <t>Active suggestions (TRUE = shown to the user)</t>
        </is>
      </c>
      <c r="B31" s="5" t="n"/>
      <c r="C31" s="5" t="n"/>
    </row>
    <row r="32">
      <c r="A32" s="13" t="inlineStr">
        <is>
          <t>Suggestion</t>
        </is>
      </c>
      <c r="B32" s="13" t="inlineStr">
        <is>
          <t>Active?</t>
        </is>
      </c>
      <c r="C32" s="13" t="inlineStr"/>
    </row>
    <row r="33">
      <c r="A33" s="14" t="inlineStr">
        <is>
          <t>Over risk budget</t>
        </is>
      </c>
      <c r="B33" s="22">
        <f>Suggestion_OverRiskBudget</f>
        <v/>
      </c>
      <c r="C33" s="16" t="inlineStr"/>
    </row>
    <row r="34">
      <c r="A34" s="14" t="inlineStr">
        <is>
          <t>Stretch zone</t>
        </is>
      </c>
      <c r="B34" s="22">
        <f>Suggestion_StretchZone</f>
        <v/>
      </c>
      <c r="C34" s="16" t="inlineStr"/>
    </row>
    <row r="35">
      <c r="A35" s="14" t="inlineStr">
        <is>
          <t>Timeline shortfall</t>
        </is>
      </c>
      <c r="B35" s="22">
        <f>Suggestion_TimelineShortfall</f>
        <v/>
      </c>
      <c r="C35" s="16" t="inlineStr"/>
    </row>
    <row r="36">
      <c r="A36" s="14" t="inlineStr">
        <is>
          <t>No saving plan</t>
        </is>
      </c>
      <c r="B36" s="22">
        <f>Suggestion_NoSavingPlan</f>
        <v/>
      </c>
      <c r="C36" s="16" t="inlineStr"/>
    </row>
    <row r="37">
      <c r="A37" s="14" t="inlineStr">
        <is>
          <t>Comfort limited</t>
        </is>
      </c>
      <c r="B37" s="22">
        <f>Suggestion_ComfortLimited</f>
        <v/>
      </c>
      <c r="C37" s="16" t="inlineStr"/>
    </row>
    <row r="38">
      <c r="A38" s="14" t="inlineStr">
        <is>
          <t>Low emergency cushion</t>
        </is>
      </c>
      <c r="B38" s="22">
        <f>Suggestion_LowEmergencyCushion</f>
        <v/>
      </c>
      <c r="C38" s="16" t="inlineStr"/>
    </row>
  </sheetData>
  <mergeCells count="6">
    <mergeCell ref="A1:C1"/>
    <mergeCell ref="A31:C31"/>
    <mergeCell ref="A22:C22"/>
    <mergeCell ref="A12:C12"/>
    <mergeCell ref="A4:C4"/>
    <mergeCell ref="A2:C2"/>
  </mergeCells>
  <conditionalFormatting sqref="B5">
    <cfRule type="expression" priority="1" dxfId="2">
      <formula>B5&gt;=85</formula>
    </cfRule>
    <cfRule type="expression" priority="2" dxfId="1">
      <formula>AND(B5&gt;=45,B5&lt;85)</formula>
    </cfRule>
    <cfRule type="expression" priority="3" dxfId="0">
      <formula>B5&lt;45</formula>
    </cfRule>
  </conditionalFormatting>
  <conditionalFormatting sqref="B33">
    <cfRule type="cellIs" priority="4" operator="equal" dxfId="1">
      <formula>TRUE</formula>
    </cfRule>
  </conditionalFormatting>
  <conditionalFormatting sqref="B34">
    <cfRule type="cellIs" priority="5" operator="equal" dxfId="1">
      <formula>TRUE</formula>
    </cfRule>
  </conditionalFormatting>
  <conditionalFormatting sqref="B35">
    <cfRule type="cellIs" priority="6" operator="equal" dxfId="1">
      <formula>TRUE</formula>
    </cfRule>
  </conditionalFormatting>
  <conditionalFormatting sqref="B36">
    <cfRule type="cellIs" priority="7" operator="equal" dxfId="1">
      <formula>TRUE</formula>
    </cfRule>
  </conditionalFormatting>
  <conditionalFormatting sqref="B37">
    <cfRule type="cellIs" priority="8" operator="equal" dxfId="1">
      <formula>TRUE</formula>
    </cfRule>
  </conditionalFormatting>
  <conditionalFormatting sqref="B38">
    <cfRule type="cellIs" priority="9" operator="equal" dxfId="1">
      <formula>TRUE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2026-07-05T10:25:49Z</dcterms:created>
  <dcterms:modified xsi:type="dcterms:W3CDTF">2026-07-05T10:25:49Z</dcterms:modified>
</cp:coreProperties>
</file>