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<sst xmlns="http://schemas.openxmlformats.org/spreadsheetml/2006/main" count="23" uniqueCount="21">
  <si>
    <t>Remark</t>
  </si>
  <si>
    <t>ราคาบ้าน</t>
  </si>
  <si>
    <t>บาท</t>
  </si>
  <si>
    <t>ค่าทำสัญญา</t>
  </si>
  <si>
    <t>After  3 Year</t>
  </si>
  <si>
    <t>ราคาเช่าเพื่อซื้อ (RTO)</t>
  </si>
  <si>
    <t>*ปรับราคาทรัพย์จากยอดคงเหลือ 6% ทุก 3 ปี</t>
  </si>
  <si>
    <t>ค่าเช่ารายเดือน</t>
  </si>
  <si>
    <t>บาท/เดือน</t>
  </si>
  <si>
    <t>ล้านละ</t>
  </si>
  <si>
    <t>*ค่าเช่าปรับขึ้น 5% ทุก 3 ปี</t>
  </si>
  <si>
    <t>อัตราเทียบเท่าดอกเบี้ย</t>
  </si>
  <si>
    <t>ต่อปี</t>
  </si>
  <si>
    <t>*อัตราเทียบเท่าดอกเบี้ยปรับขึ้น 0.25% ทุก 3 ปี</t>
  </si>
  <si>
    <t>Interest Rate increase 1% every year</t>
  </si>
  <si>
    <t>month</t>
  </si>
  <si>
    <t>Remaining</t>
  </si>
  <si>
    <t>Payment</t>
  </si>
  <si>
    <t>Interest rate</t>
  </si>
  <si>
    <t>Interest Amount</t>
  </si>
  <si>
    <t>Principle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</si>
</sst>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6">
    <font>
      <sz val="12.0"/>
      <color theme="1"/>
      <name val="Aptos Narrow"/>
      <scheme val="minor"/>
    </font>
    <font>
      <sz val="12.0"/>
      <color theme="1"/>
      <name val="Aptos Narrow"/>
    </font>
    <font>
      <color theme="1"/>
      <name val="Aptos Narrow"/>
      <scheme val="minor"/>
    </font>
    <font>
      <color theme="1"/>
      <name val="Arial"/>
    </font>
    <font>
      <sz val="10.0"/>
      <color theme="1"/>
      <name val="Aptos Narrow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E8E8E8"/>
        <bgColor rgb="FFE8E8E8"/>
      </patternFill>
    </fill>
    <fill>
      <patternFill patternType="solid">
        <fgColor rgb="FFDBE9F7"/>
        <bgColor rgb="FFDBE9F7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2" fontId="2" numFmtId="0" xfId="0" applyFont="1"/>
    <xf borderId="0" fillId="0" fontId="2" numFmtId="0" xfId="0" applyFont="1"/>
    <xf borderId="0" fillId="0" fontId="1" numFmtId="3" xfId="0" applyFont="1" applyNumberFormat="1"/>
    <xf borderId="1" fillId="3" fontId="1" numFmtId="9" xfId="0" applyAlignment="1" applyBorder="1" applyFill="1" applyFont="1" applyNumberFormat="1">
      <alignment horizontal="center"/>
    </xf>
    <xf borderId="0" fillId="2" fontId="1" numFmtId="0" xfId="0" applyAlignment="1" applyFont="1">
      <alignment horizontal="left"/>
    </xf>
    <xf borderId="0" fillId="0" fontId="3" numFmtId="0" xfId="0" applyAlignment="1" applyFont="1">
      <alignment readingOrder="0"/>
    </xf>
    <xf borderId="0" fillId="2" fontId="4" numFmtId="0" xfId="0" applyFont="1"/>
    <xf borderId="0" fillId="2" fontId="1" numFmtId="9" xfId="0" applyAlignment="1" applyFont="1" applyNumberFormat="1">
      <alignment horizontal="center"/>
    </xf>
    <xf borderId="0" fillId="0" fontId="1" numFmtId="164" xfId="0" applyFont="1" applyNumberFormat="1"/>
    <xf borderId="1" fillId="3" fontId="1" numFmtId="0" xfId="0" applyAlignment="1" applyBorder="1" applyFont="1">
      <alignment horizontal="center"/>
    </xf>
    <xf borderId="1" fillId="4" fontId="5" numFmtId="10" xfId="0" applyAlignment="1" applyBorder="1" applyFill="1" applyFont="1" applyNumberFormat="1">
      <alignment readingOrder="0"/>
    </xf>
    <xf borderId="0" fillId="2" fontId="1" numFmtId="10" xfId="0" applyAlignment="1" applyFont="1" applyNumberFormat="1">
      <alignment horizontal="center"/>
    </xf>
    <xf borderId="0" fillId="2" fontId="3" numFmtId="0" xfId="0" applyAlignment="1" applyFont="1">
      <alignment readingOrder="0"/>
    </xf>
    <xf borderId="2" fillId="0" fontId="1" numFmtId="0" xfId="0" applyAlignment="1" applyBorder="1" applyFont="1">
      <alignment horizontal="center"/>
    </xf>
    <xf borderId="0" fillId="0" fontId="1" numFmtId="3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1" fillId="5" fontId="1" numFmtId="10" xfId="0" applyAlignment="1" applyBorder="1" applyFill="1" applyFont="1" applyNumberFormat="1">
      <alignment horizontal="center"/>
    </xf>
    <xf borderId="3" fillId="0" fontId="1" numFmtId="0" xfId="0" applyAlignment="1" applyBorder="1" applyFont="1">
      <alignment horizontal="center"/>
    </xf>
    <xf borderId="3" fillId="0" fontId="1" numFmtId="3" xfId="0" applyAlignment="1" applyBorder="1" applyFont="1" applyNumberFormat="1">
      <alignment horizontal="center"/>
    </xf>
    <xf borderId="3" fillId="0" fontId="1" numFmtId="10" xfId="0" applyAlignment="1" applyBorder="1" applyFont="1" applyNumberFormat="1">
      <alignment horizontal="center"/>
    </xf>
    <xf borderId="3" fillId="0" fontId="1" numFmtId="0" xfId="0" applyBorder="1" applyFont="1"/>
    <xf borderId="1" fillId="5" fontId="1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44"/>
    <col customWidth="1" min="2" max="2" width="9.0"/>
    <col customWidth="1" min="3" max="4" width="18.67"/>
    <col customWidth="1" min="5" max="5" width="11.0"/>
    <col customWidth="1" min="6" max="7" width="18.67"/>
    <col customWidth="1" min="8" max="8" width="34.0"/>
    <col customWidth="1" min="9" max="26" width="10.56"/>
  </cols>
  <sheetData>
    <row r="1" ht="15.75" customHeight="1">
      <c r="E1" s="1"/>
    </row>
    <row r="2" ht="15.75" customHeight="1">
      <c r="E2" s="1"/>
    </row>
    <row r="3" ht="15.75" customHeight="1">
      <c r="E3" s="1"/>
      <c r="H3" s="2" t="s">
        <v>0</v>
      </c>
      <c r="I3" s="3"/>
    </row>
    <row r="4" ht="15.75" customHeight="1">
      <c r="C4" s="4" t="s">
        <v>1</v>
      </c>
      <c r="D4" s="5">
        <v>5000000.0</v>
      </c>
      <c r="E4" s="1" t="s">
        <v>2</v>
      </c>
      <c r="H4" s="3"/>
      <c r="I4" s="3"/>
    </row>
    <row r="5" ht="15.75" customHeight="1">
      <c r="C5" s="4" t="s">
        <v>3</v>
      </c>
      <c r="D5" s="5">
        <f>D4*G5</f>
        <v>350000</v>
      </c>
      <c r="E5" s="1" t="s">
        <v>2</v>
      </c>
      <c r="G5" s="6">
        <v>0.07</v>
      </c>
      <c r="H5" s="7" t="s">
        <v>4</v>
      </c>
      <c r="I5" s="3"/>
    </row>
    <row r="6" ht="15.75" customHeight="1">
      <c r="C6" s="8" t="s">
        <v>5</v>
      </c>
      <c r="D6" s="5">
        <f>D4*(1+G6)</f>
        <v>5300000</v>
      </c>
      <c r="E6" s="1" t="s">
        <v>2</v>
      </c>
      <c r="G6" s="6">
        <f>13%-G5</f>
        <v>0.06</v>
      </c>
      <c r="H6" s="9" t="s">
        <v>6</v>
      </c>
      <c r="I6" s="10">
        <v>0.06</v>
      </c>
    </row>
    <row r="7" ht="15.75" customHeight="1">
      <c r="C7" s="4" t="s">
        <v>7</v>
      </c>
      <c r="D7" s="11">
        <f>D6/1000000*G7</f>
        <v>36040</v>
      </c>
      <c r="E7" s="1" t="s">
        <v>8</v>
      </c>
      <c r="F7" s="1" t="s">
        <v>9</v>
      </c>
      <c r="G7" s="12">
        <v>6800.0</v>
      </c>
      <c r="H7" s="9" t="s">
        <v>10</v>
      </c>
      <c r="I7" s="10">
        <v>0.05</v>
      </c>
    </row>
    <row r="8" ht="15.75" customHeight="1">
      <c r="C8" s="4" t="s">
        <v>11</v>
      </c>
      <c r="D8" s="13">
        <v>0.045</v>
      </c>
      <c r="E8" s="1" t="s">
        <v>12</v>
      </c>
      <c r="H8" s="9" t="s">
        <v>13</v>
      </c>
      <c r="I8" s="14">
        <v>0.0025</v>
      </c>
    </row>
    <row r="9" ht="15.75" customHeight="1">
      <c r="D9" s="13">
        <v>0.055</v>
      </c>
      <c r="E9" s="1"/>
      <c r="H9" s="3"/>
      <c r="I9" s="3"/>
    </row>
    <row r="10" ht="15.75" customHeight="1">
      <c r="D10" s="13">
        <v>0.065</v>
      </c>
      <c r="E10" s="1"/>
      <c r="H10" s="15" t="s">
        <v>14</v>
      </c>
      <c r="I10" s="3"/>
    </row>
    <row r="11" ht="15.75" customHeight="1"/>
    <row r="12" ht="15.75" customHeight="1">
      <c r="B12" s="16" t="s">
        <v>15</v>
      </c>
      <c r="C12" s="16" t="s">
        <v>16</v>
      </c>
      <c r="D12" s="16" t="s">
        <v>17</v>
      </c>
      <c r="E12" s="16" t="s">
        <v>18</v>
      </c>
      <c r="F12" s="16" t="s">
        <v>19</v>
      </c>
      <c r="G12" s="16" t="s">
        <v>20</v>
      </c>
    </row>
    <row r="13" ht="15.75" customHeight="1">
      <c r="B13" s="1">
        <v>0.0</v>
      </c>
      <c r="C13" s="17">
        <f>D6</f>
        <v>5300000</v>
      </c>
      <c r="E13" s="18"/>
    </row>
    <row r="14" ht="15.75" customHeight="1">
      <c r="B14" s="1">
        <f t="shared" ref="B14:B85" si="1">B13+1</f>
        <v>1</v>
      </c>
      <c r="C14" s="17">
        <f t="shared" ref="C14:C49" si="2">C13-G14</f>
        <v>5283835</v>
      </c>
      <c r="D14" s="17">
        <f t="shared" ref="D14:D49" si="3">$D$7</f>
        <v>36040</v>
      </c>
      <c r="E14" s="19">
        <f t="shared" ref="E14:E25" si="4">$D$8</f>
        <v>0.045</v>
      </c>
      <c r="F14" s="17">
        <f t="shared" ref="F14:F85" si="5">C13*E14/12</f>
        <v>19875</v>
      </c>
      <c r="G14" s="17">
        <f t="shared" ref="G14:G85" si="6">D14-F14</f>
        <v>16165</v>
      </c>
    </row>
    <row r="15" ht="15.75" customHeight="1">
      <c r="B15" s="1">
        <f t="shared" si="1"/>
        <v>2</v>
      </c>
      <c r="C15" s="17">
        <f t="shared" si="2"/>
        <v>5267609.381</v>
      </c>
      <c r="D15" s="17">
        <f t="shared" si="3"/>
        <v>36040</v>
      </c>
      <c r="E15" s="18">
        <f t="shared" si="4"/>
        <v>0.045</v>
      </c>
      <c r="F15" s="17">
        <f t="shared" si="5"/>
        <v>19814.38125</v>
      </c>
      <c r="G15" s="17">
        <f t="shared" si="6"/>
        <v>16225.61875</v>
      </c>
    </row>
    <row r="16" ht="15.75" customHeight="1">
      <c r="B16" s="1">
        <f t="shared" si="1"/>
        <v>3</v>
      </c>
      <c r="C16" s="17">
        <f t="shared" si="2"/>
        <v>5251322.916</v>
      </c>
      <c r="D16" s="17">
        <f t="shared" si="3"/>
        <v>36040</v>
      </c>
      <c r="E16" s="18">
        <f t="shared" si="4"/>
        <v>0.045</v>
      </c>
      <c r="F16" s="17">
        <f t="shared" si="5"/>
        <v>19753.53518</v>
      </c>
      <c r="G16" s="17">
        <f t="shared" si="6"/>
        <v>16286.46482</v>
      </c>
    </row>
    <row r="17" ht="15.75" customHeight="1">
      <c r="B17" s="1">
        <f t="shared" si="1"/>
        <v>4</v>
      </c>
      <c r="C17" s="17">
        <f t="shared" si="2"/>
        <v>5234975.377</v>
      </c>
      <c r="D17" s="17">
        <f t="shared" si="3"/>
        <v>36040</v>
      </c>
      <c r="E17" s="18">
        <f t="shared" si="4"/>
        <v>0.045</v>
      </c>
      <c r="F17" s="17">
        <f t="shared" si="5"/>
        <v>19692.46094</v>
      </c>
      <c r="G17" s="17">
        <f t="shared" si="6"/>
        <v>16347.53906</v>
      </c>
    </row>
    <row r="18" ht="15.75" customHeight="1">
      <c r="B18" s="1">
        <f t="shared" si="1"/>
        <v>5</v>
      </c>
      <c r="C18" s="17">
        <f t="shared" si="2"/>
        <v>5218566.535</v>
      </c>
      <c r="D18" s="17">
        <f t="shared" si="3"/>
        <v>36040</v>
      </c>
      <c r="E18" s="18">
        <f t="shared" si="4"/>
        <v>0.045</v>
      </c>
      <c r="F18" s="17">
        <f t="shared" si="5"/>
        <v>19631.15767</v>
      </c>
      <c r="G18" s="17">
        <f t="shared" si="6"/>
        <v>16408.84233</v>
      </c>
    </row>
    <row r="19" ht="15.75" customHeight="1">
      <c r="B19" s="1">
        <f t="shared" si="1"/>
        <v>6</v>
      </c>
      <c r="C19" s="17">
        <f t="shared" si="2"/>
        <v>5202096.16</v>
      </c>
      <c r="D19" s="17">
        <f t="shared" si="3"/>
        <v>36040</v>
      </c>
      <c r="E19" s="18">
        <f t="shared" si="4"/>
        <v>0.045</v>
      </c>
      <c r="F19" s="17">
        <f t="shared" si="5"/>
        <v>19569.62451</v>
      </c>
      <c r="G19" s="17">
        <f t="shared" si="6"/>
        <v>16470.37549</v>
      </c>
    </row>
    <row r="20" ht="15.75" customHeight="1">
      <c r="B20" s="1">
        <f t="shared" si="1"/>
        <v>7</v>
      </c>
      <c r="C20" s="17">
        <f t="shared" si="2"/>
        <v>5185564.02</v>
      </c>
      <c r="D20" s="17">
        <f t="shared" si="3"/>
        <v>36040</v>
      </c>
      <c r="E20" s="18">
        <f t="shared" si="4"/>
        <v>0.045</v>
      </c>
      <c r="F20" s="17">
        <f t="shared" si="5"/>
        <v>19507.8606</v>
      </c>
      <c r="G20" s="17">
        <f t="shared" si="6"/>
        <v>16532.1394</v>
      </c>
    </row>
    <row r="21" ht="15.75" customHeight="1">
      <c r="B21" s="1">
        <f t="shared" si="1"/>
        <v>8</v>
      </c>
      <c r="C21" s="17">
        <f t="shared" si="2"/>
        <v>5168969.885</v>
      </c>
      <c r="D21" s="17">
        <f t="shared" si="3"/>
        <v>36040</v>
      </c>
      <c r="E21" s="18">
        <f t="shared" si="4"/>
        <v>0.045</v>
      </c>
      <c r="F21" s="17">
        <f t="shared" si="5"/>
        <v>19445.86508</v>
      </c>
      <c r="G21" s="17">
        <f t="shared" si="6"/>
        <v>16594.13492</v>
      </c>
    </row>
    <row r="22" ht="15.75" customHeight="1">
      <c r="B22" s="1">
        <f t="shared" si="1"/>
        <v>9</v>
      </c>
      <c r="C22" s="17">
        <f t="shared" si="2"/>
        <v>5152313.522</v>
      </c>
      <c r="D22" s="17">
        <f t="shared" si="3"/>
        <v>36040</v>
      </c>
      <c r="E22" s="18">
        <f t="shared" si="4"/>
        <v>0.045</v>
      </c>
      <c r="F22" s="17">
        <f t="shared" si="5"/>
        <v>19383.63707</v>
      </c>
      <c r="G22" s="17">
        <f t="shared" si="6"/>
        <v>16656.36293</v>
      </c>
    </row>
    <row r="23" ht="15.75" customHeight="1">
      <c r="B23" s="1">
        <f t="shared" si="1"/>
        <v>10</v>
      </c>
      <c r="C23" s="17">
        <f t="shared" si="2"/>
        <v>5135594.698</v>
      </c>
      <c r="D23" s="17">
        <f t="shared" si="3"/>
        <v>36040</v>
      </c>
      <c r="E23" s="18">
        <f t="shared" si="4"/>
        <v>0.045</v>
      </c>
      <c r="F23" s="17">
        <f t="shared" si="5"/>
        <v>19321.17571</v>
      </c>
      <c r="G23" s="17">
        <f t="shared" si="6"/>
        <v>16718.82429</v>
      </c>
    </row>
    <row r="24" ht="15.75" customHeight="1">
      <c r="B24" s="1">
        <f t="shared" si="1"/>
        <v>11</v>
      </c>
      <c r="C24" s="17">
        <f t="shared" si="2"/>
        <v>5118813.178</v>
      </c>
      <c r="D24" s="17">
        <f t="shared" si="3"/>
        <v>36040</v>
      </c>
      <c r="E24" s="18">
        <f t="shared" si="4"/>
        <v>0.045</v>
      </c>
      <c r="F24" s="17">
        <f t="shared" si="5"/>
        <v>19258.48012</v>
      </c>
      <c r="G24" s="17">
        <f t="shared" si="6"/>
        <v>16781.51988</v>
      </c>
    </row>
    <row r="25" ht="15.75" customHeight="1">
      <c r="B25" s="1">
        <f t="shared" si="1"/>
        <v>12</v>
      </c>
      <c r="C25" s="17">
        <f t="shared" si="2"/>
        <v>5101968.728</v>
      </c>
      <c r="D25" s="17">
        <f t="shared" si="3"/>
        <v>36040</v>
      </c>
      <c r="E25" s="18">
        <f t="shared" si="4"/>
        <v>0.045</v>
      </c>
      <c r="F25" s="17">
        <f t="shared" si="5"/>
        <v>19195.54942</v>
      </c>
      <c r="G25" s="17">
        <f t="shared" si="6"/>
        <v>16844.45058</v>
      </c>
    </row>
    <row r="26" ht="15.75" customHeight="1">
      <c r="B26" s="1">
        <f t="shared" si="1"/>
        <v>13</v>
      </c>
      <c r="C26" s="17">
        <f t="shared" si="2"/>
        <v>5089312.751</v>
      </c>
      <c r="D26" s="17">
        <f t="shared" si="3"/>
        <v>36040</v>
      </c>
      <c r="E26" s="19">
        <f t="shared" ref="E26:E37" si="7">$D$9</f>
        <v>0.055</v>
      </c>
      <c r="F26" s="17">
        <f t="shared" si="5"/>
        <v>23384.02333</v>
      </c>
      <c r="G26" s="17">
        <f t="shared" si="6"/>
        <v>12655.97667</v>
      </c>
    </row>
    <row r="27" ht="15.75" customHeight="1">
      <c r="B27" s="1">
        <f t="shared" si="1"/>
        <v>14</v>
      </c>
      <c r="C27" s="17">
        <f t="shared" si="2"/>
        <v>5076598.768</v>
      </c>
      <c r="D27" s="17">
        <f t="shared" si="3"/>
        <v>36040</v>
      </c>
      <c r="E27" s="18">
        <f t="shared" si="7"/>
        <v>0.055</v>
      </c>
      <c r="F27" s="17">
        <f t="shared" si="5"/>
        <v>23326.01677</v>
      </c>
      <c r="G27" s="17">
        <f t="shared" si="6"/>
        <v>12713.98323</v>
      </c>
    </row>
    <row r="28" ht="15.75" customHeight="1">
      <c r="B28" s="1">
        <f t="shared" si="1"/>
        <v>15</v>
      </c>
      <c r="C28" s="17">
        <f t="shared" si="2"/>
        <v>5063826.512</v>
      </c>
      <c r="D28" s="17">
        <f t="shared" si="3"/>
        <v>36040</v>
      </c>
      <c r="E28" s="18">
        <f t="shared" si="7"/>
        <v>0.055</v>
      </c>
      <c r="F28" s="17">
        <f t="shared" si="5"/>
        <v>23267.74435</v>
      </c>
      <c r="G28" s="17">
        <f t="shared" si="6"/>
        <v>12772.25565</v>
      </c>
    </row>
    <row r="29" ht="15.75" customHeight="1">
      <c r="B29" s="1">
        <f t="shared" si="1"/>
        <v>16</v>
      </c>
      <c r="C29" s="17">
        <f t="shared" si="2"/>
        <v>5050995.717</v>
      </c>
      <c r="D29" s="17">
        <f t="shared" si="3"/>
        <v>36040</v>
      </c>
      <c r="E29" s="18">
        <f t="shared" si="7"/>
        <v>0.055</v>
      </c>
      <c r="F29" s="17">
        <f t="shared" si="5"/>
        <v>23209.20485</v>
      </c>
      <c r="G29" s="17">
        <f t="shared" si="6"/>
        <v>12830.79515</v>
      </c>
    </row>
    <row r="30" ht="15.75" customHeight="1">
      <c r="B30" s="1">
        <f t="shared" si="1"/>
        <v>17</v>
      </c>
      <c r="C30" s="17">
        <f t="shared" si="2"/>
        <v>5038106.114</v>
      </c>
      <c r="D30" s="17">
        <f t="shared" si="3"/>
        <v>36040</v>
      </c>
      <c r="E30" s="18">
        <f t="shared" si="7"/>
        <v>0.055</v>
      </c>
      <c r="F30" s="17">
        <f t="shared" si="5"/>
        <v>23150.39704</v>
      </c>
      <c r="G30" s="17">
        <f t="shared" si="6"/>
        <v>12889.60296</v>
      </c>
    </row>
    <row r="31" ht="15.75" customHeight="1">
      <c r="B31" s="1">
        <f t="shared" si="1"/>
        <v>18</v>
      </c>
      <c r="C31" s="17">
        <f t="shared" si="2"/>
        <v>5025157.434</v>
      </c>
      <c r="D31" s="17">
        <f t="shared" si="3"/>
        <v>36040</v>
      </c>
      <c r="E31" s="18">
        <f t="shared" si="7"/>
        <v>0.055</v>
      </c>
      <c r="F31" s="17">
        <f t="shared" si="5"/>
        <v>23091.31969</v>
      </c>
      <c r="G31" s="17">
        <f t="shared" si="6"/>
        <v>12948.68031</v>
      </c>
    </row>
    <row r="32" ht="15.75" customHeight="1">
      <c r="B32" s="1">
        <f t="shared" si="1"/>
        <v>19</v>
      </c>
      <c r="C32" s="17">
        <f t="shared" si="2"/>
        <v>5012149.405</v>
      </c>
      <c r="D32" s="17">
        <f t="shared" si="3"/>
        <v>36040</v>
      </c>
      <c r="E32" s="18">
        <f t="shared" si="7"/>
        <v>0.055</v>
      </c>
      <c r="F32" s="17">
        <f t="shared" si="5"/>
        <v>23031.97157</v>
      </c>
      <c r="G32" s="17">
        <f t="shared" si="6"/>
        <v>13008.02843</v>
      </c>
    </row>
    <row r="33" ht="15.75" customHeight="1">
      <c r="B33" s="1">
        <f t="shared" si="1"/>
        <v>20</v>
      </c>
      <c r="C33" s="17">
        <f t="shared" si="2"/>
        <v>4999081.757</v>
      </c>
      <c r="D33" s="17">
        <f t="shared" si="3"/>
        <v>36040</v>
      </c>
      <c r="E33" s="18">
        <f t="shared" si="7"/>
        <v>0.055</v>
      </c>
      <c r="F33" s="17">
        <f t="shared" si="5"/>
        <v>22972.35144</v>
      </c>
      <c r="G33" s="17">
        <f t="shared" si="6"/>
        <v>13067.64856</v>
      </c>
    </row>
    <row r="34" ht="15.75" customHeight="1">
      <c r="B34" s="1">
        <f t="shared" si="1"/>
        <v>21</v>
      </c>
      <c r="C34" s="17">
        <f t="shared" si="2"/>
        <v>4985954.215</v>
      </c>
      <c r="D34" s="17">
        <f t="shared" si="3"/>
        <v>36040</v>
      </c>
      <c r="E34" s="18">
        <f t="shared" si="7"/>
        <v>0.055</v>
      </c>
      <c r="F34" s="17">
        <f t="shared" si="5"/>
        <v>22912.45805</v>
      </c>
      <c r="G34" s="17">
        <f t="shared" si="6"/>
        <v>13127.54195</v>
      </c>
    </row>
    <row r="35" ht="15.75" customHeight="1">
      <c r="B35" s="1">
        <f t="shared" si="1"/>
        <v>22</v>
      </c>
      <c r="C35" s="17">
        <f t="shared" si="2"/>
        <v>4972766.505</v>
      </c>
      <c r="D35" s="17">
        <f t="shared" si="3"/>
        <v>36040</v>
      </c>
      <c r="E35" s="18">
        <f t="shared" si="7"/>
        <v>0.055</v>
      </c>
      <c r="F35" s="17">
        <f t="shared" si="5"/>
        <v>22852.29015</v>
      </c>
      <c r="G35" s="17">
        <f t="shared" si="6"/>
        <v>13187.70985</v>
      </c>
    </row>
    <row r="36" ht="15.75" customHeight="1">
      <c r="B36" s="1">
        <f t="shared" si="1"/>
        <v>23</v>
      </c>
      <c r="C36" s="17">
        <f t="shared" si="2"/>
        <v>4959518.351</v>
      </c>
      <c r="D36" s="17">
        <f t="shared" si="3"/>
        <v>36040</v>
      </c>
      <c r="E36" s="18">
        <f t="shared" si="7"/>
        <v>0.055</v>
      </c>
      <c r="F36" s="17">
        <f t="shared" si="5"/>
        <v>22791.84648</v>
      </c>
      <c r="G36" s="17">
        <f t="shared" si="6"/>
        <v>13248.15352</v>
      </c>
    </row>
    <row r="37" ht="15.75" customHeight="1">
      <c r="B37" s="1">
        <f t="shared" si="1"/>
        <v>24</v>
      </c>
      <c r="C37" s="17">
        <f t="shared" si="2"/>
        <v>4946209.477</v>
      </c>
      <c r="D37" s="17">
        <f t="shared" si="3"/>
        <v>36040</v>
      </c>
      <c r="E37" s="18">
        <f t="shared" si="7"/>
        <v>0.055</v>
      </c>
      <c r="F37" s="17">
        <f t="shared" si="5"/>
        <v>22731.12578</v>
      </c>
      <c r="G37" s="17">
        <f t="shared" si="6"/>
        <v>13308.87422</v>
      </c>
    </row>
    <row r="38" ht="15.75" customHeight="1">
      <c r="B38" s="1">
        <f t="shared" si="1"/>
        <v>25</v>
      </c>
      <c r="C38" s="17">
        <f t="shared" si="2"/>
        <v>4936961.445</v>
      </c>
      <c r="D38" s="17">
        <f t="shared" si="3"/>
        <v>36040</v>
      </c>
      <c r="E38" s="19">
        <f t="shared" ref="E38:E49" si="8">$D$10</f>
        <v>0.065</v>
      </c>
      <c r="F38" s="17">
        <f t="shared" si="5"/>
        <v>26791.968</v>
      </c>
      <c r="G38" s="17">
        <f t="shared" si="6"/>
        <v>9248.031999</v>
      </c>
    </row>
    <row r="39" ht="15.75" customHeight="1">
      <c r="B39" s="1">
        <f t="shared" si="1"/>
        <v>26</v>
      </c>
      <c r="C39" s="17">
        <f t="shared" si="2"/>
        <v>4927663.32</v>
      </c>
      <c r="D39" s="17">
        <f t="shared" si="3"/>
        <v>36040</v>
      </c>
      <c r="E39" s="18">
        <f t="shared" si="8"/>
        <v>0.065</v>
      </c>
      <c r="F39" s="17">
        <f t="shared" si="5"/>
        <v>26741.87449</v>
      </c>
      <c r="G39" s="17">
        <f t="shared" si="6"/>
        <v>9298.125506</v>
      </c>
    </row>
    <row r="40" ht="15.75" customHeight="1">
      <c r="B40" s="1">
        <f t="shared" si="1"/>
        <v>27</v>
      </c>
      <c r="C40" s="17">
        <f t="shared" si="2"/>
        <v>4918314.829</v>
      </c>
      <c r="D40" s="17">
        <f t="shared" si="3"/>
        <v>36040</v>
      </c>
      <c r="E40" s="18">
        <f t="shared" si="8"/>
        <v>0.065</v>
      </c>
      <c r="F40" s="17">
        <f t="shared" si="5"/>
        <v>26691.50965</v>
      </c>
      <c r="G40" s="17">
        <f t="shared" si="6"/>
        <v>9348.490353</v>
      </c>
    </row>
    <row r="41" ht="15.75" customHeight="1">
      <c r="B41" s="1">
        <f t="shared" si="1"/>
        <v>28</v>
      </c>
      <c r="C41" s="17">
        <f t="shared" si="2"/>
        <v>4908915.701</v>
      </c>
      <c r="D41" s="17">
        <f t="shared" si="3"/>
        <v>36040</v>
      </c>
      <c r="E41" s="18">
        <f t="shared" si="8"/>
        <v>0.065</v>
      </c>
      <c r="F41" s="17">
        <f t="shared" si="5"/>
        <v>26640.87199</v>
      </c>
      <c r="G41" s="17">
        <f t="shared" si="6"/>
        <v>9399.128009</v>
      </c>
    </row>
    <row r="42" ht="15.75" customHeight="1">
      <c r="B42" s="1">
        <f t="shared" si="1"/>
        <v>29</v>
      </c>
      <c r="C42" s="17">
        <f t="shared" si="2"/>
        <v>4899465.661</v>
      </c>
      <c r="D42" s="17">
        <f t="shared" si="3"/>
        <v>36040</v>
      </c>
      <c r="E42" s="18">
        <f t="shared" si="8"/>
        <v>0.065</v>
      </c>
      <c r="F42" s="17">
        <f t="shared" si="5"/>
        <v>26589.96005</v>
      </c>
      <c r="G42" s="17">
        <f t="shared" si="6"/>
        <v>9450.039952</v>
      </c>
    </row>
    <row r="43" ht="15.75" customHeight="1">
      <c r="B43" s="1">
        <f t="shared" si="1"/>
        <v>30</v>
      </c>
      <c r="C43" s="17">
        <f t="shared" si="2"/>
        <v>4889964.434</v>
      </c>
      <c r="D43" s="17">
        <f t="shared" si="3"/>
        <v>36040</v>
      </c>
      <c r="E43" s="18">
        <f t="shared" si="8"/>
        <v>0.065</v>
      </c>
      <c r="F43" s="17">
        <f t="shared" si="5"/>
        <v>26538.77233</v>
      </c>
      <c r="G43" s="17">
        <f t="shared" si="6"/>
        <v>9501.227668</v>
      </c>
    </row>
    <row r="44" ht="15.75" customHeight="1">
      <c r="B44" s="1">
        <f t="shared" si="1"/>
        <v>31</v>
      </c>
      <c r="C44" s="17">
        <f t="shared" si="2"/>
        <v>4880411.741</v>
      </c>
      <c r="D44" s="17">
        <f t="shared" si="3"/>
        <v>36040</v>
      </c>
      <c r="E44" s="18">
        <f t="shared" si="8"/>
        <v>0.065</v>
      </c>
      <c r="F44" s="17">
        <f t="shared" si="5"/>
        <v>26487.30735</v>
      </c>
      <c r="G44" s="17">
        <f t="shared" si="6"/>
        <v>9552.692652</v>
      </c>
    </row>
    <row r="45" ht="15.75" customHeight="1">
      <c r="B45" s="1">
        <f t="shared" si="1"/>
        <v>32</v>
      </c>
      <c r="C45" s="17">
        <f t="shared" si="2"/>
        <v>4870807.304</v>
      </c>
      <c r="D45" s="17">
        <f t="shared" si="3"/>
        <v>36040</v>
      </c>
      <c r="E45" s="18">
        <f t="shared" si="8"/>
        <v>0.065</v>
      </c>
      <c r="F45" s="17">
        <f t="shared" si="5"/>
        <v>26435.5636</v>
      </c>
      <c r="G45" s="17">
        <f t="shared" si="6"/>
        <v>9604.436404</v>
      </c>
    </row>
    <row r="46" ht="15.75" customHeight="1">
      <c r="B46" s="1">
        <f t="shared" si="1"/>
        <v>33</v>
      </c>
      <c r="C46" s="17">
        <f t="shared" si="2"/>
        <v>4861150.844</v>
      </c>
      <c r="D46" s="17">
        <f t="shared" si="3"/>
        <v>36040</v>
      </c>
      <c r="E46" s="18">
        <f t="shared" si="8"/>
        <v>0.065</v>
      </c>
      <c r="F46" s="17">
        <f t="shared" si="5"/>
        <v>26383.53957</v>
      </c>
      <c r="G46" s="17">
        <f t="shared" si="6"/>
        <v>9656.460434</v>
      </c>
    </row>
    <row r="47" ht="15.75" customHeight="1">
      <c r="B47" s="1">
        <f t="shared" si="1"/>
        <v>34</v>
      </c>
      <c r="C47" s="17">
        <f t="shared" si="2"/>
        <v>4851442.078</v>
      </c>
      <c r="D47" s="17">
        <f t="shared" si="3"/>
        <v>36040</v>
      </c>
      <c r="E47" s="18">
        <f t="shared" si="8"/>
        <v>0.065</v>
      </c>
      <c r="F47" s="17">
        <f t="shared" si="5"/>
        <v>26331.23374</v>
      </c>
      <c r="G47" s="17">
        <f t="shared" si="6"/>
        <v>9708.766261</v>
      </c>
    </row>
    <row r="48" ht="15.75" customHeight="1">
      <c r="B48" s="1">
        <f t="shared" si="1"/>
        <v>35</v>
      </c>
      <c r="C48" s="17">
        <f t="shared" si="2"/>
        <v>4841680.722</v>
      </c>
      <c r="D48" s="17">
        <f t="shared" si="3"/>
        <v>36040</v>
      </c>
      <c r="E48" s="18">
        <f t="shared" si="8"/>
        <v>0.065</v>
      </c>
      <c r="F48" s="17">
        <f t="shared" si="5"/>
        <v>26278.64459</v>
      </c>
      <c r="G48" s="17">
        <f t="shared" si="6"/>
        <v>9761.355412</v>
      </c>
    </row>
    <row r="49" ht="15.75" customHeight="1">
      <c r="B49" s="20">
        <f t="shared" si="1"/>
        <v>36</v>
      </c>
      <c r="C49" s="21">
        <f t="shared" si="2"/>
        <v>4831866.493</v>
      </c>
      <c r="D49" s="21">
        <f t="shared" si="3"/>
        <v>36040</v>
      </c>
      <c r="E49" s="22">
        <f t="shared" si="8"/>
        <v>0.065</v>
      </c>
      <c r="F49" s="21">
        <f t="shared" si="5"/>
        <v>26225.77058</v>
      </c>
      <c r="G49" s="21">
        <f t="shared" si="6"/>
        <v>9814.22942</v>
      </c>
      <c r="H49" s="23"/>
    </row>
    <row r="50" ht="15.75" customHeight="1">
      <c r="B50" s="1">
        <f t="shared" si="1"/>
        <v>37</v>
      </c>
      <c r="C50" s="24">
        <f>(C49-G50)*(1+$I$6)</f>
        <v>5110475.966</v>
      </c>
      <c r="D50" s="24">
        <f>D49*(1+$I$7)</f>
        <v>37842</v>
      </c>
      <c r="E50" s="19">
        <f>E49+$I$8</f>
        <v>0.0675</v>
      </c>
      <c r="F50" s="17">
        <f t="shared" si="5"/>
        <v>27179.24902</v>
      </c>
      <c r="G50" s="17">
        <f t="shared" si="6"/>
        <v>10662.75098</v>
      </c>
    </row>
    <row r="51" ht="15.75" customHeight="1">
      <c r="B51" s="1">
        <f t="shared" si="1"/>
        <v>38</v>
      </c>
      <c r="C51" s="17">
        <f t="shared" ref="C51:C85" si="10">C50-G51</f>
        <v>5101380.394</v>
      </c>
      <c r="D51" s="17">
        <f t="shared" ref="D51:E51" si="9">D50</f>
        <v>37842</v>
      </c>
      <c r="E51" s="18">
        <f t="shared" si="9"/>
        <v>0.0675</v>
      </c>
      <c r="F51" s="17">
        <f t="shared" si="5"/>
        <v>28746.42731</v>
      </c>
      <c r="G51" s="17">
        <f t="shared" si="6"/>
        <v>9095.572688</v>
      </c>
    </row>
    <row r="52" ht="15.75" customHeight="1">
      <c r="B52" s="1">
        <f t="shared" si="1"/>
        <v>39</v>
      </c>
      <c r="C52" s="17">
        <f t="shared" si="10"/>
        <v>5092233.659</v>
      </c>
      <c r="D52" s="17">
        <f t="shared" ref="D52:E52" si="11">D51</f>
        <v>37842</v>
      </c>
      <c r="E52" s="18">
        <f t="shared" si="11"/>
        <v>0.0675</v>
      </c>
      <c r="F52" s="17">
        <f t="shared" si="5"/>
        <v>28695.26472</v>
      </c>
      <c r="G52" s="17">
        <f t="shared" si="6"/>
        <v>9146.735285</v>
      </c>
    </row>
    <row r="53" ht="15.75" customHeight="1">
      <c r="B53" s="1">
        <f t="shared" si="1"/>
        <v>40</v>
      </c>
      <c r="C53" s="17">
        <f t="shared" si="10"/>
        <v>5083035.473</v>
      </c>
      <c r="D53" s="17">
        <f t="shared" ref="D53:E53" si="12">D52</f>
        <v>37842</v>
      </c>
      <c r="E53" s="18">
        <f t="shared" si="12"/>
        <v>0.0675</v>
      </c>
      <c r="F53" s="17">
        <f t="shared" si="5"/>
        <v>28643.81433</v>
      </c>
      <c r="G53" s="17">
        <f t="shared" si="6"/>
        <v>9198.185671</v>
      </c>
    </row>
    <row r="54" ht="15.75" customHeight="1">
      <c r="B54" s="1">
        <f t="shared" si="1"/>
        <v>41</v>
      </c>
      <c r="C54" s="17">
        <f t="shared" si="10"/>
        <v>5073785.547</v>
      </c>
      <c r="D54" s="17">
        <f t="shared" ref="D54:E54" si="13">D53</f>
        <v>37842</v>
      </c>
      <c r="E54" s="18">
        <f t="shared" si="13"/>
        <v>0.0675</v>
      </c>
      <c r="F54" s="17">
        <f t="shared" si="5"/>
        <v>28592.07453</v>
      </c>
      <c r="G54" s="17">
        <f t="shared" si="6"/>
        <v>9249.925465</v>
      </c>
    </row>
    <row r="55" ht="15.75" customHeight="1">
      <c r="B55" s="1">
        <f t="shared" si="1"/>
        <v>42</v>
      </c>
      <c r="C55" s="17">
        <f t="shared" si="10"/>
        <v>5064483.591</v>
      </c>
      <c r="D55" s="17">
        <f t="shared" ref="D55:E55" si="14">D54</f>
        <v>37842</v>
      </c>
      <c r="E55" s="18">
        <f t="shared" si="14"/>
        <v>0.0675</v>
      </c>
      <c r="F55" s="17">
        <f t="shared" si="5"/>
        <v>28540.0437</v>
      </c>
      <c r="G55" s="17">
        <f t="shared" si="6"/>
        <v>9301.956296</v>
      </c>
    </row>
    <row r="56" ht="15.75" customHeight="1">
      <c r="B56" s="1">
        <f t="shared" si="1"/>
        <v>43</v>
      </c>
      <c r="C56" s="17">
        <f t="shared" si="10"/>
        <v>5055129.311</v>
      </c>
      <c r="D56" s="17">
        <f t="shared" ref="D56:E56" si="15">D55</f>
        <v>37842</v>
      </c>
      <c r="E56" s="18">
        <f t="shared" si="15"/>
        <v>0.0675</v>
      </c>
      <c r="F56" s="17">
        <f t="shared" si="5"/>
        <v>28487.7202</v>
      </c>
      <c r="G56" s="17">
        <f t="shared" si="6"/>
        <v>9354.2798</v>
      </c>
    </row>
    <row r="57" ht="15.75" customHeight="1">
      <c r="B57" s="1">
        <f t="shared" si="1"/>
        <v>44</v>
      </c>
      <c r="C57" s="17">
        <f t="shared" si="10"/>
        <v>5045722.414</v>
      </c>
      <c r="D57" s="17">
        <f t="shared" ref="D57:E57" si="16">D56</f>
        <v>37842</v>
      </c>
      <c r="E57" s="18">
        <f t="shared" si="16"/>
        <v>0.0675</v>
      </c>
      <c r="F57" s="17">
        <f t="shared" si="5"/>
        <v>28435.10238</v>
      </c>
      <c r="G57" s="17">
        <f t="shared" si="6"/>
        <v>9406.897624</v>
      </c>
    </row>
    <row r="58" ht="15.75" customHeight="1">
      <c r="B58" s="1">
        <f t="shared" si="1"/>
        <v>45</v>
      </c>
      <c r="C58" s="17">
        <f t="shared" si="10"/>
        <v>5036262.602</v>
      </c>
      <c r="D58" s="17">
        <f t="shared" ref="D58:E58" si="17">D57</f>
        <v>37842</v>
      </c>
      <c r="E58" s="18">
        <f t="shared" si="17"/>
        <v>0.0675</v>
      </c>
      <c r="F58" s="17">
        <f t="shared" si="5"/>
        <v>28382.18858</v>
      </c>
      <c r="G58" s="17">
        <f t="shared" si="6"/>
        <v>9459.811423</v>
      </c>
    </row>
    <row r="59" ht="15.75" customHeight="1">
      <c r="B59" s="1">
        <f t="shared" si="1"/>
        <v>46</v>
      </c>
      <c r="C59" s="17">
        <f t="shared" si="10"/>
        <v>5026749.579</v>
      </c>
      <c r="D59" s="17">
        <f t="shared" ref="D59:E59" si="18">D58</f>
        <v>37842</v>
      </c>
      <c r="E59" s="18">
        <f t="shared" si="18"/>
        <v>0.0675</v>
      </c>
      <c r="F59" s="17">
        <f t="shared" si="5"/>
        <v>28328.97714</v>
      </c>
      <c r="G59" s="17">
        <f t="shared" si="6"/>
        <v>9513.022862</v>
      </c>
    </row>
    <row r="60" ht="15.75" customHeight="1">
      <c r="B60" s="1">
        <f t="shared" si="1"/>
        <v>47</v>
      </c>
      <c r="C60" s="17">
        <f t="shared" si="10"/>
        <v>5017183.046</v>
      </c>
      <c r="D60" s="17">
        <f t="shared" ref="D60:E60" si="19">D59</f>
        <v>37842</v>
      </c>
      <c r="E60" s="18">
        <f t="shared" si="19"/>
        <v>0.0675</v>
      </c>
      <c r="F60" s="17">
        <f t="shared" si="5"/>
        <v>28275.46638</v>
      </c>
      <c r="G60" s="17">
        <f t="shared" si="6"/>
        <v>9566.533616</v>
      </c>
    </row>
    <row r="61" ht="15.75" customHeight="1">
      <c r="B61" s="1">
        <f t="shared" si="1"/>
        <v>48</v>
      </c>
      <c r="C61" s="17">
        <f t="shared" si="10"/>
        <v>5007562.7</v>
      </c>
      <c r="D61" s="17">
        <f t="shared" ref="D61:E61" si="20">D60</f>
        <v>37842</v>
      </c>
      <c r="E61" s="18">
        <f t="shared" si="20"/>
        <v>0.0675</v>
      </c>
      <c r="F61" s="17">
        <f t="shared" si="5"/>
        <v>28221.65463</v>
      </c>
      <c r="G61" s="17">
        <f t="shared" si="6"/>
        <v>9620.345368</v>
      </c>
    </row>
    <row r="62" ht="15.75" customHeight="1">
      <c r="B62" s="1">
        <f t="shared" si="1"/>
        <v>49</v>
      </c>
      <c r="C62" s="17">
        <f t="shared" si="10"/>
        <v>4997888.241</v>
      </c>
      <c r="D62" s="17">
        <f t="shared" ref="D62:E62" si="21">D61</f>
        <v>37842</v>
      </c>
      <c r="E62" s="18">
        <f t="shared" si="21"/>
        <v>0.0675</v>
      </c>
      <c r="F62" s="17">
        <f t="shared" si="5"/>
        <v>28167.54019</v>
      </c>
      <c r="G62" s="17">
        <f t="shared" si="6"/>
        <v>9674.45981</v>
      </c>
    </row>
    <row r="63" ht="15.75" customHeight="1">
      <c r="B63" s="1">
        <f t="shared" si="1"/>
        <v>50</v>
      </c>
      <c r="C63" s="17">
        <f t="shared" si="10"/>
        <v>4988159.362</v>
      </c>
      <c r="D63" s="17">
        <f t="shared" ref="D63:E63" si="22">D62</f>
        <v>37842</v>
      </c>
      <c r="E63" s="18">
        <f t="shared" si="22"/>
        <v>0.0675</v>
      </c>
      <c r="F63" s="17">
        <f t="shared" si="5"/>
        <v>28113.12135</v>
      </c>
      <c r="G63" s="17">
        <f t="shared" si="6"/>
        <v>9728.878647</v>
      </c>
    </row>
    <row r="64" ht="15.75" customHeight="1">
      <c r="B64" s="1">
        <f t="shared" si="1"/>
        <v>51</v>
      </c>
      <c r="C64" s="17">
        <f t="shared" si="10"/>
        <v>4978375.758</v>
      </c>
      <c r="D64" s="17">
        <f t="shared" ref="D64:E64" si="23">D63</f>
        <v>37842</v>
      </c>
      <c r="E64" s="18">
        <f t="shared" si="23"/>
        <v>0.0675</v>
      </c>
      <c r="F64" s="17">
        <f t="shared" si="5"/>
        <v>28058.39641</v>
      </c>
      <c r="G64" s="17">
        <f t="shared" si="6"/>
        <v>9783.603589</v>
      </c>
    </row>
    <row r="65" ht="15.75" customHeight="1">
      <c r="B65" s="1">
        <f t="shared" si="1"/>
        <v>52</v>
      </c>
      <c r="C65" s="17">
        <f t="shared" si="10"/>
        <v>4968537.122</v>
      </c>
      <c r="D65" s="17">
        <f t="shared" ref="D65:E65" si="24">D64</f>
        <v>37842</v>
      </c>
      <c r="E65" s="18">
        <f t="shared" si="24"/>
        <v>0.0675</v>
      </c>
      <c r="F65" s="17">
        <f t="shared" si="5"/>
        <v>28003.36364</v>
      </c>
      <c r="G65" s="17">
        <f t="shared" si="6"/>
        <v>9838.636359</v>
      </c>
    </row>
    <row r="66" ht="15.75" customHeight="1">
      <c r="B66" s="1">
        <f t="shared" si="1"/>
        <v>53</v>
      </c>
      <c r="C66" s="17">
        <f t="shared" si="10"/>
        <v>4958643.143</v>
      </c>
      <c r="D66" s="17">
        <f t="shared" ref="D66:E66" si="25">D65</f>
        <v>37842</v>
      </c>
      <c r="E66" s="18">
        <f t="shared" si="25"/>
        <v>0.0675</v>
      </c>
      <c r="F66" s="17">
        <f t="shared" si="5"/>
        <v>27948.02131</v>
      </c>
      <c r="G66" s="17">
        <f t="shared" si="6"/>
        <v>9893.978689</v>
      </c>
    </row>
    <row r="67" ht="15.75" customHeight="1">
      <c r="B67" s="1">
        <f t="shared" si="1"/>
        <v>54</v>
      </c>
      <c r="C67" s="17">
        <f t="shared" si="10"/>
        <v>4948693.511</v>
      </c>
      <c r="D67" s="17">
        <f t="shared" ref="D67:E67" si="26">D66</f>
        <v>37842</v>
      </c>
      <c r="E67" s="18">
        <f t="shared" si="26"/>
        <v>0.0675</v>
      </c>
      <c r="F67" s="17">
        <f t="shared" si="5"/>
        <v>27892.36768</v>
      </c>
      <c r="G67" s="17">
        <f t="shared" si="6"/>
        <v>9949.632319</v>
      </c>
    </row>
    <row r="68" ht="15.75" customHeight="1">
      <c r="B68" s="1">
        <f t="shared" si="1"/>
        <v>55</v>
      </c>
      <c r="C68" s="17">
        <f t="shared" si="10"/>
        <v>4938687.912</v>
      </c>
      <c r="D68" s="17">
        <f t="shared" ref="D68:E68" si="27">D67</f>
        <v>37842</v>
      </c>
      <c r="E68" s="18">
        <f t="shared" si="27"/>
        <v>0.0675</v>
      </c>
      <c r="F68" s="17">
        <f t="shared" si="5"/>
        <v>27836.401</v>
      </c>
      <c r="G68" s="17">
        <f t="shared" si="6"/>
        <v>10005.599</v>
      </c>
    </row>
    <row r="69" ht="15.75" customHeight="1">
      <c r="B69" s="1">
        <f t="shared" si="1"/>
        <v>56</v>
      </c>
      <c r="C69" s="17">
        <f t="shared" si="10"/>
        <v>4928626.031</v>
      </c>
      <c r="D69" s="17">
        <f t="shared" ref="D69:E69" si="28">D68</f>
        <v>37842</v>
      </c>
      <c r="E69" s="18">
        <f t="shared" si="28"/>
        <v>0.0675</v>
      </c>
      <c r="F69" s="17">
        <f t="shared" si="5"/>
        <v>27780.1195</v>
      </c>
      <c r="G69" s="17">
        <f t="shared" si="6"/>
        <v>10061.8805</v>
      </c>
    </row>
    <row r="70" ht="15.75" customHeight="1">
      <c r="B70" s="1">
        <f t="shared" si="1"/>
        <v>57</v>
      </c>
      <c r="C70" s="17">
        <f t="shared" si="10"/>
        <v>4918507.553</v>
      </c>
      <c r="D70" s="17">
        <f t="shared" ref="D70:E70" si="29">D69</f>
        <v>37842</v>
      </c>
      <c r="E70" s="18">
        <f t="shared" si="29"/>
        <v>0.0675</v>
      </c>
      <c r="F70" s="17">
        <f t="shared" si="5"/>
        <v>27723.52143</v>
      </c>
      <c r="G70" s="17">
        <f t="shared" si="6"/>
        <v>10118.47857</v>
      </c>
    </row>
    <row r="71" ht="15.75" customHeight="1">
      <c r="B71" s="1">
        <f t="shared" si="1"/>
        <v>58</v>
      </c>
      <c r="C71" s="17">
        <f t="shared" si="10"/>
        <v>4908332.158</v>
      </c>
      <c r="D71" s="17">
        <f t="shared" ref="D71:E71" si="30">D70</f>
        <v>37842</v>
      </c>
      <c r="E71" s="18">
        <f t="shared" si="30"/>
        <v>0.0675</v>
      </c>
      <c r="F71" s="17">
        <f t="shared" si="5"/>
        <v>27666.60499</v>
      </c>
      <c r="G71" s="17">
        <f t="shared" si="6"/>
        <v>10175.39501</v>
      </c>
    </row>
    <row r="72" ht="15.75" customHeight="1">
      <c r="B72" s="1">
        <f t="shared" si="1"/>
        <v>59</v>
      </c>
      <c r="C72" s="17">
        <f t="shared" si="10"/>
        <v>4898099.526</v>
      </c>
      <c r="D72" s="17">
        <f t="shared" ref="D72:E72" si="31">D71</f>
        <v>37842</v>
      </c>
      <c r="E72" s="18">
        <f t="shared" si="31"/>
        <v>0.0675</v>
      </c>
      <c r="F72" s="17">
        <f t="shared" si="5"/>
        <v>27609.36839</v>
      </c>
      <c r="G72" s="17">
        <f t="shared" si="6"/>
        <v>10232.63161</v>
      </c>
    </row>
    <row r="73" ht="15.75" customHeight="1">
      <c r="B73" s="1">
        <f t="shared" si="1"/>
        <v>60</v>
      </c>
      <c r="C73" s="17">
        <f t="shared" si="10"/>
        <v>4887809.336</v>
      </c>
      <c r="D73" s="17">
        <f t="shared" ref="D73:E73" si="32">D72</f>
        <v>37842</v>
      </c>
      <c r="E73" s="18">
        <f t="shared" si="32"/>
        <v>0.0675</v>
      </c>
      <c r="F73" s="17">
        <f t="shared" si="5"/>
        <v>27551.80984</v>
      </c>
      <c r="G73" s="17">
        <f t="shared" si="6"/>
        <v>10290.19016</v>
      </c>
    </row>
    <row r="74" ht="15.75" customHeight="1">
      <c r="B74" s="1">
        <f t="shared" si="1"/>
        <v>61</v>
      </c>
      <c r="C74" s="17">
        <f t="shared" si="10"/>
        <v>4877461.264</v>
      </c>
      <c r="D74" s="17">
        <f t="shared" ref="D74:E74" si="33">D73</f>
        <v>37842</v>
      </c>
      <c r="E74" s="18">
        <f t="shared" si="33"/>
        <v>0.0675</v>
      </c>
      <c r="F74" s="17">
        <f t="shared" si="5"/>
        <v>27493.92752</v>
      </c>
      <c r="G74" s="17">
        <f t="shared" si="6"/>
        <v>10348.07248</v>
      </c>
    </row>
    <row r="75" ht="15.75" customHeight="1">
      <c r="B75" s="1">
        <f t="shared" si="1"/>
        <v>62</v>
      </c>
      <c r="C75" s="17">
        <f t="shared" si="10"/>
        <v>4867054.983</v>
      </c>
      <c r="D75" s="17">
        <f t="shared" ref="D75:E75" si="34">D74</f>
        <v>37842</v>
      </c>
      <c r="E75" s="18">
        <f t="shared" si="34"/>
        <v>0.0675</v>
      </c>
      <c r="F75" s="17">
        <f t="shared" si="5"/>
        <v>27435.71961</v>
      </c>
      <c r="G75" s="17">
        <f t="shared" si="6"/>
        <v>10406.28039</v>
      </c>
    </row>
    <row r="76" ht="15.75" customHeight="1">
      <c r="B76" s="1">
        <f t="shared" si="1"/>
        <v>63</v>
      </c>
      <c r="C76" s="17">
        <f t="shared" si="10"/>
        <v>4856590.168</v>
      </c>
      <c r="D76" s="17">
        <f t="shared" ref="D76:E76" si="35">D75</f>
        <v>37842</v>
      </c>
      <c r="E76" s="18">
        <f t="shared" si="35"/>
        <v>0.0675</v>
      </c>
      <c r="F76" s="17">
        <f t="shared" si="5"/>
        <v>27377.18428</v>
      </c>
      <c r="G76" s="17">
        <f t="shared" si="6"/>
        <v>10464.81572</v>
      </c>
    </row>
    <row r="77" ht="15.75" customHeight="1">
      <c r="B77" s="1">
        <f t="shared" si="1"/>
        <v>64</v>
      </c>
      <c r="C77" s="17">
        <f t="shared" si="10"/>
        <v>4846066.487</v>
      </c>
      <c r="D77" s="17">
        <f t="shared" ref="D77:E77" si="36">D76</f>
        <v>37842</v>
      </c>
      <c r="E77" s="18">
        <f t="shared" si="36"/>
        <v>0.0675</v>
      </c>
      <c r="F77" s="17">
        <f t="shared" si="5"/>
        <v>27318.31969</v>
      </c>
      <c r="G77" s="17">
        <f t="shared" si="6"/>
        <v>10523.68031</v>
      </c>
    </row>
    <row r="78" ht="15.75" customHeight="1">
      <c r="B78" s="1">
        <f t="shared" si="1"/>
        <v>65</v>
      </c>
      <c r="C78" s="17">
        <f t="shared" si="10"/>
        <v>4835483.611</v>
      </c>
      <c r="D78" s="17">
        <f t="shared" ref="D78:E78" si="37">D77</f>
        <v>37842</v>
      </c>
      <c r="E78" s="18">
        <f t="shared" si="37"/>
        <v>0.0675</v>
      </c>
      <c r="F78" s="17">
        <f t="shared" si="5"/>
        <v>27259.12399</v>
      </c>
      <c r="G78" s="17">
        <f t="shared" si="6"/>
        <v>10582.87601</v>
      </c>
    </row>
    <row r="79" ht="15.75" customHeight="1">
      <c r="B79" s="1">
        <f t="shared" si="1"/>
        <v>66</v>
      </c>
      <c r="C79" s="17">
        <f t="shared" si="10"/>
        <v>4824841.207</v>
      </c>
      <c r="D79" s="17">
        <f t="shared" ref="D79:E79" si="38">D78</f>
        <v>37842</v>
      </c>
      <c r="E79" s="18">
        <f t="shared" si="38"/>
        <v>0.0675</v>
      </c>
      <c r="F79" s="17">
        <f t="shared" si="5"/>
        <v>27199.59531</v>
      </c>
      <c r="G79" s="17">
        <f t="shared" si="6"/>
        <v>10642.40469</v>
      </c>
    </row>
    <row r="80" ht="15.75" customHeight="1">
      <c r="B80" s="1">
        <f t="shared" si="1"/>
        <v>67</v>
      </c>
      <c r="C80" s="17">
        <f t="shared" si="10"/>
        <v>4814138.938</v>
      </c>
      <c r="D80" s="17">
        <f t="shared" ref="D80:E80" si="39">D79</f>
        <v>37842</v>
      </c>
      <c r="E80" s="18">
        <f t="shared" si="39"/>
        <v>0.0675</v>
      </c>
      <c r="F80" s="17">
        <f t="shared" si="5"/>
        <v>27139.73179</v>
      </c>
      <c r="G80" s="17">
        <f t="shared" si="6"/>
        <v>10702.26821</v>
      </c>
    </row>
    <row r="81" ht="15.75" customHeight="1">
      <c r="B81" s="1">
        <f t="shared" si="1"/>
        <v>68</v>
      </c>
      <c r="C81" s="17">
        <f t="shared" si="10"/>
        <v>4803376.47</v>
      </c>
      <c r="D81" s="17">
        <f t="shared" ref="D81:E81" si="40">D80</f>
        <v>37842</v>
      </c>
      <c r="E81" s="18">
        <f t="shared" si="40"/>
        <v>0.0675</v>
      </c>
      <c r="F81" s="17">
        <f t="shared" si="5"/>
        <v>27079.53153</v>
      </c>
      <c r="G81" s="17">
        <f t="shared" si="6"/>
        <v>10762.46847</v>
      </c>
    </row>
    <row r="82" ht="15.75" customHeight="1">
      <c r="B82" s="1">
        <f t="shared" si="1"/>
        <v>69</v>
      </c>
      <c r="C82" s="17">
        <f t="shared" si="10"/>
        <v>4792553.462</v>
      </c>
      <c r="D82" s="17">
        <f t="shared" ref="D82:E82" si="41">D81</f>
        <v>37842</v>
      </c>
      <c r="E82" s="18">
        <f t="shared" si="41"/>
        <v>0.0675</v>
      </c>
      <c r="F82" s="17">
        <f t="shared" si="5"/>
        <v>27018.99264</v>
      </c>
      <c r="G82" s="17">
        <f t="shared" si="6"/>
        <v>10823.00736</v>
      </c>
    </row>
    <row r="83" ht="15.75" customHeight="1">
      <c r="B83" s="1">
        <f t="shared" si="1"/>
        <v>70</v>
      </c>
      <c r="C83" s="17">
        <f t="shared" si="10"/>
        <v>4781669.576</v>
      </c>
      <c r="D83" s="17">
        <f t="shared" ref="D83:E83" si="42">D82</f>
        <v>37842</v>
      </c>
      <c r="E83" s="18">
        <f t="shared" si="42"/>
        <v>0.0675</v>
      </c>
      <c r="F83" s="17">
        <f t="shared" si="5"/>
        <v>26958.11323</v>
      </c>
      <c r="G83" s="17">
        <f t="shared" si="6"/>
        <v>10883.88677</v>
      </c>
    </row>
    <row r="84" ht="15.75" customHeight="1">
      <c r="B84" s="1">
        <f t="shared" si="1"/>
        <v>71</v>
      </c>
      <c r="C84" s="17">
        <f t="shared" si="10"/>
        <v>4770724.467</v>
      </c>
      <c r="D84" s="17">
        <f t="shared" ref="D84:E84" si="43">D83</f>
        <v>37842</v>
      </c>
      <c r="E84" s="18">
        <f t="shared" si="43"/>
        <v>0.0675</v>
      </c>
      <c r="F84" s="17">
        <f t="shared" si="5"/>
        <v>26896.89136</v>
      </c>
      <c r="G84" s="17">
        <f t="shared" si="6"/>
        <v>10945.10864</v>
      </c>
    </row>
    <row r="85" ht="15.75" customHeight="1">
      <c r="B85" s="1">
        <f t="shared" si="1"/>
        <v>72</v>
      </c>
      <c r="C85" s="17">
        <f t="shared" si="10"/>
        <v>4759717.792</v>
      </c>
      <c r="D85" s="17">
        <f t="shared" ref="D85:E85" si="44">D84</f>
        <v>37842</v>
      </c>
      <c r="E85" s="18">
        <f t="shared" si="44"/>
        <v>0.0675</v>
      </c>
      <c r="F85" s="17">
        <f t="shared" si="5"/>
        <v>26835.32513</v>
      </c>
      <c r="G85" s="17">
        <f t="shared" si="6"/>
        <v>11006.67487</v>
      </c>
    </row>
    <row r="86" ht="15.75" customHeight="1">
      <c r="B86" s="1"/>
      <c r="E86" s="1"/>
    </row>
    <row r="87" ht="15.75" customHeight="1">
      <c r="B87" s="1"/>
      <c r="E87" s="1"/>
    </row>
    <row r="88" ht="15.75" customHeight="1">
      <c r="E88" s="1"/>
    </row>
    <row r="89" ht="15.75" customHeight="1">
      <c r="E89" s="1"/>
    </row>
    <row r="90" ht="15.75" customHeight="1">
      <c r="E90" s="1"/>
    </row>
    <row r="91" ht="15.75" customHeight="1">
      <c r="E91" s="1"/>
    </row>
    <row r="92" ht="15.75" customHeight="1">
      <c r="E92" s="1"/>
    </row>
    <row r="93" ht="15.75" customHeight="1">
      <c r="E93" s="1"/>
    </row>
    <row r="94" ht="15.75" customHeight="1">
      <c r="E94" s="1"/>
    </row>
    <row r="95" ht="15.75" customHeight="1">
      <c r="E95" s="1"/>
    </row>
    <row r="96" ht="15.75" customHeight="1">
      <c r="E96" s="1"/>
    </row>
    <row r="97" ht="15.75" customHeight="1">
      <c r="E97" s="1"/>
    </row>
    <row r="98" ht="15.75" customHeight="1">
      <c r="E98" s="1"/>
    </row>
    <row r="99" ht="15.75" customHeight="1">
      <c r="E99" s="1"/>
    </row>
    <row r="100" ht="15.75" customHeight="1">
      <c r="E100" s="1"/>
    </row>
    <row r="101" ht="15.75" customHeight="1">
      <c r="E101" s="1"/>
    </row>
    <row r="102" ht="15.75" customHeight="1">
      <c r="E102" s="1"/>
    </row>
    <row r="103" ht="15.75" customHeight="1">
      <c r="E103" s="1"/>
    </row>
    <row r="104" ht="15.75" customHeight="1">
      <c r="E104" s="1"/>
    </row>
    <row r="105" ht="15.75" customHeight="1">
      <c r="E105" s="1"/>
    </row>
    <row r="106" ht="15.75" customHeight="1">
      <c r="E106" s="1"/>
    </row>
    <row r="107" ht="15.75" customHeight="1">
      <c r="E107" s="1"/>
    </row>
    <row r="108" ht="15.75" customHeight="1">
      <c r="E108" s="1"/>
    </row>
    <row r="109" ht="15.75" customHeight="1">
      <c r="E109" s="1"/>
    </row>
    <row r="110" ht="15.75" customHeight="1">
      <c r="E110" s="1"/>
    </row>
    <row r="111" ht="15.75" customHeight="1">
      <c r="E111" s="1"/>
    </row>
    <row r="112" ht="15.75" customHeight="1">
      <c r="E112" s="1"/>
    </row>
    <row r="113" ht="15.75" customHeight="1">
      <c r="E113" s="1"/>
    </row>
    <row r="114" ht="15.75" customHeight="1">
      <c r="E114" s="1"/>
    </row>
    <row r="115" ht="15.75" customHeight="1">
      <c r="E115" s="1"/>
    </row>
    <row r="116" ht="15.75" customHeight="1">
      <c r="E116" s="1"/>
    </row>
    <row r="117" ht="15.75" customHeight="1">
      <c r="E117" s="1"/>
    </row>
    <row r="118" ht="15.75" customHeight="1">
      <c r="E118" s="1"/>
    </row>
    <row r="119" ht="15.75" customHeight="1">
      <c r="E119" s="1"/>
    </row>
    <row r="120" ht="15.75" customHeight="1">
      <c r="E120" s="1"/>
    </row>
    <row r="121" ht="15.75" customHeight="1">
      <c r="E121" s="1"/>
    </row>
    <row r="122" ht="15.75" customHeight="1">
      <c r="E122" s="1"/>
    </row>
    <row r="123" ht="15.75" customHeight="1">
      <c r="E123" s="1"/>
    </row>
    <row r="124" ht="15.75" customHeight="1">
      <c r="E124" s="1"/>
    </row>
    <row r="125" ht="15.75" customHeight="1">
      <c r="E125" s="1"/>
    </row>
    <row r="126" ht="15.75" customHeight="1">
      <c r="E126" s="1"/>
    </row>
    <row r="127" ht="15.75" customHeight="1">
      <c r="E127" s="1"/>
    </row>
    <row r="128" ht="15.75" customHeight="1">
      <c r="E128" s="1"/>
    </row>
    <row r="129" ht="15.75" customHeight="1">
      <c r="E129" s="1"/>
    </row>
    <row r="130" ht="15.75" customHeight="1">
      <c r="E130" s="1"/>
    </row>
    <row r="131" ht="15.75" customHeight="1">
      <c r="E131" s="1"/>
    </row>
    <row r="132" ht="15.75" customHeight="1">
      <c r="E132" s="1"/>
    </row>
    <row r="133" ht="15.75" customHeight="1">
      <c r="E133" s="1"/>
    </row>
    <row r="134" ht="15.75" customHeight="1">
      <c r="E134" s="1"/>
    </row>
    <row r="135" ht="15.75" customHeight="1">
      <c r="E135" s="1"/>
    </row>
    <row r="136" ht="15.75" customHeight="1">
      <c r="E136" s="1"/>
    </row>
    <row r="137" ht="15.75" customHeight="1">
      <c r="E137" s="1"/>
    </row>
    <row r="138" ht="15.75" customHeight="1">
      <c r="E138" s="1"/>
    </row>
    <row r="139" ht="15.75" customHeight="1">
      <c r="E139" s="1"/>
    </row>
    <row r="140" ht="15.75" customHeight="1">
      <c r="E140" s="1"/>
    </row>
    <row r="141" ht="15.75" customHeight="1">
      <c r="E141" s="1"/>
    </row>
    <row r="142" ht="15.75" customHeight="1">
      <c r="E142" s="1"/>
    </row>
    <row r="143" ht="15.75" customHeight="1">
      <c r="E143" s="1"/>
    </row>
    <row r="144" ht="15.75" customHeight="1">
      <c r="E144" s="1"/>
    </row>
    <row r="145" ht="15.75" customHeight="1">
      <c r="E145" s="1"/>
    </row>
    <row r="146" ht="15.75" customHeight="1">
      <c r="E146" s="1"/>
    </row>
    <row r="147" ht="15.75" customHeight="1">
      <c r="E147" s="1"/>
    </row>
    <row r="148" ht="15.75" customHeight="1">
      <c r="E148" s="1"/>
    </row>
    <row r="149" ht="15.75" customHeight="1">
      <c r="E149" s="1"/>
    </row>
    <row r="150" ht="15.75" customHeight="1">
      <c r="E150" s="1"/>
    </row>
    <row r="151" ht="15.75" customHeight="1">
      <c r="E151" s="1"/>
    </row>
    <row r="152" ht="15.75" customHeight="1">
      <c r="E152" s="1"/>
    </row>
    <row r="153" ht="15.75" customHeight="1">
      <c r="E153" s="1"/>
    </row>
    <row r="154" ht="15.75" customHeight="1">
      <c r="E154" s="1"/>
    </row>
    <row r="155" ht="15.75" customHeight="1">
      <c r="E155" s="1"/>
    </row>
    <row r="156" ht="15.75" customHeight="1">
      <c r="E156" s="1"/>
    </row>
    <row r="157" ht="15.75" customHeight="1">
      <c r="E157" s="1"/>
    </row>
    <row r="158" ht="15.75" customHeight="1">
      <c r="E158" s="1"/>
    </row>
    <row r="159" ht="15.75" customHeight="1">
      <c r="E159" s="1"/>
    </row>
    <row r="160" ht="15.75" customHeight="1">
      <c r="E160" s="1"/>
    </row>
    <row r="161" ht="15.75" customHeight="1">
      <c r="E161" s="1"/>
    </row>
    <row r="162" ht="15.75" customHeight="1">
      <c r="E162" s="1"/>
    </row>
    <row r="163" ht="15.75" customHeight="1">
      <c r="E163" s="1"/>
    </row>
    <row r="164" ht="15.75" customHeight="1">
      <c r="E164" s="1"/>
    </row>
    <row r="165" ht="15.75" customHeight="1">
      <c r="E165" s="1"/>
    </row>
    <row r="166" ht="15.75" customHeight="1">
      <c r="E166" s="1"/>
    </row>
    <row r="167" ht="15.75" customHeight="1">
      <c r="E167" s="1"/>
    </row>
    <row r="168" ht="15.75" customHeight="1">
      <c r="E168" s="1"/>
    </row>
    <row r="169" ht="15.75" customHeight="1">
      <c r="E169" s="1"/>
    </row>
    <row r="170" ht="15.75" customHeight="1">
      <c r="E170" s="1"/>
    </row>
    <row r="171" ht="15.75" customHeight="1">
      <c r="E171" s="1"/>
    </row>
    <row r="172" ht="15.75" customHeight="1">
      <c r="E172" s="1"/>
    </row>
    <row r="173" ht="15.75" customHeight="1">
      <c r="E173" s="1"/>
    </row>
    <row r="174" ht="15.75" customHeight="1">
      <c r="E174" s="1"/>
    </row>
    <row r="175" ht="15.75" customHeight="1">
      <c r="E175" s="1"/>
    </row>
    <row r="176" ht="15.75" customHeight="1">
      <c r="E176" s="1"/>
    </row>
    <row r="177" ht="15.75" customHeight="1">
      <c r="E177" s="1"/>
    </row>
    <row r="178" ht="15.75" customHeight="1">
      <c r="E178" s="1"/>
    </row>
    <row r="179" ht="15.75" customHeight="1">
      <c r="E179" s="1"/>
    </row>
    <row r="180" ht="15.75" customHeight="1">
      <c r="E180" s="1"/>
    </row>
    <row r="181" ht="15.75" customHeight="1">
      <c r="E181" s="1"/>
    </row>
    <row r="182" ht="15.75" customHeight="1">
      <c r="E182" s="1"/>
    </row>
    <row r="183" ht="15.75" customHeight="1">
      <c r="E183" s="1"/>
    </row>
    <row r="184" ht="15.75" customHeight="1">
      <c r="E184" s="1"/>
    </row>
    <row r="185" ht="15.75" customHeight="1">
      <c r="E185" s="1"/>
    </row>
    <row r="186" ht="15.75" customHeight="1">
      <c r="E186" s="1"/>
    </row>
    <row r="187" ht="15.75" customHeight="1">
      <c r="E187" s="1"/>
    </row>
    <row r="188" ht="15.75" customHeight="1">
      <c r="E188" s="1"/>
    </row>
    <row r="189" ht="15.75" customHeight="1">
      <c r="E189" s="1"/>
    </row>
    <row r="190" ht="15.75" customHeight="1">
      <c r="E190" s="1"/>
    </row>
    <row r="191" ht="15.75" customHeight="1">
      <c r="E191" s="1"/>
    </row>
    <row r="192" ht="15.75" customHeight="1">
      <c r="E192" s="1"/>
    </row>
    <row r="193" ht="15.75" customHeight="1">
      <c r="E193" s="1"/>
    </row>
    <row r="194" ht="15.75" customHeight="1">
      <c r="E194" s="1"/>
    </row>
    <row r="195" ht="15.75" customHeight="1">
      <c r="E195" s="1"/>
    </row>
    <row r="196" ht="15.75" customHeight="1">
      <c r="E196" s="1"/>
    </row>
    <row r="197" ht="15.75" customHeight="1">
      <c r="E197" s="1"/>
    </row>
    <row r="198" ht="15.75" customHeight="1">
      <c r="E198" s="1"/>
    </row>
    <row r="199" ht="15.75" customHeight="1">
      <c r="E199" s="1"/>
    </row>
    <row r="200" ht="15.75" customHeight="1">
      <c r="E200" s="1"/>
    </row>
    <row r="201" ht="15.75" customHeight="1">
      <c r="E201" s="1"/>
    </row>
    <row r="202" ht="15.75" customHeight="1">
      <c r="E202" s="1"/>
    </row>
    <row r="203" ht="15.75" customHeight="1">
      <c r="E203" s="1"/>
    </row>
    <row r="204" ht="15.75" customHeight="1">
      <c r="E204" s="1"/>
    </row>
    <row r="205" ht="15.75" customHeight="1">
      <c r="E205" s="1"/>
    </row>
    <row r="206" ht="15.75" customHeight="1">
      <c r="E206" s="1"/>
    </row>
    <row r="207" ht="15.75" customHeight="1">
      <c r="E207" s="1"/>
    </row>
    <row r="208" ht="15.75" customHeight="1">
      <c r="E208" s="1"/>
    </row>
    <row r="209" ht="15.75" customHeight="1">
      <c r="E209" s="1"/>
    </row>
    <row r="210" ht="15.75" customHeight="1">
      <c r="E210" s="1"/>
    </row>
    <row r="211" ht="15.75" customHeight="1">
      <c r="E211" s="1"/>
    </row>
    <row r="212" ht="15.75" customHeight="1">
      <c r="E212" s="1"/>
    </row>
    <row r="213" ht="15.75" customHeight="1">
      <c r="E213" s="1"/>
    </row>
    <row r="214" ht="15.75" customHeight="1">
      <c r="E214" s="1"/>
    </row>
    <row r="215" ht="15.75" customHeight="1">
      <c r="E215" s="1"/>
    </row>
    <row r="216" ht="15.75" customHeight="1">
      <c r="E216" s="1"/>
    </row>
    <row r="217" ht="15.75" customHeight="1">
      <c r="E217" s="1"/>
    </row>
    <row r="218" ht="15.75" customHeight="1">
      <c r="E218" s="1"/>
    </row>
    <row r="219" ht="15.75" customHeight="1">
      <c r="E219" s="1"/>
    </row>
    <row r="220" ht="15.75" customHeight="1">
      <c r="E220" s="1"/>
    </row>
    <row r="221" ht="15.75" customHeight="1">
      <c r="E221" s="1"/>
    </row>
    <row r="222" ht="15.75" customHeight="1">
      <c r="E222" s="1"/>
    </row>
    <row r="223" ht="15.75" customHeight="1">
      <c r="E223" s="1"/>
    </row>
    <row r="224" ht="15.75" customHeight="1">
      <c r="E224" s="1"/>
    </row>
    <row r="225" ht="15.75" customHeight="1">
      <c r="E225" s="1"/>
    </row>
    <row r="226" ht="15.75" customHeight="1">
      <c r="E226" s="1"/>
    </row>
    <row r="227" ht="15.75" customHeight="1">
      <c r="E227" s="1"/>
    </row>
    <row r="228" ht="15.75" customHeight="1">
      <c r="E228" s="1"/>
    </row>
    <row r="229" ht="15.75" customHeight="1">
      <c r="E229" s="1"/>
    </row>
    <row r="230" ht="15.75" customHeight="1">
      <c r="E230" s="1"/>
    </row>
    <row r="231" ht="15.75" customHeight="1">
      <c r="E231" s="1"/>
    </row>
    <row r="232" ht="15.75" customHeight="1">
      <c r="E232" s="1"/>
    </row>
    <row r="233" ht="15.75" customHeight="1">
      <c r="E233" s="1"/>
    </row>
    <row r="234" ht="15.75" customHeight="1">
      <c r="E234" s="1"/>
    </row>
    <row r="235" ht="15.75" customHeight="1">
      <c r="E235" s="1"/>
    </row>
    <row r="236" ht="15.75" customHeight="1">
      <c r="E236" s="1"/>
    </row>
    <row r="237" ht="15.75" customHeight="1">
      <c r="E237" s="1"/>
    </row>
    <row r="238" ht="15.75" customHeight="1">
      <c r="E238" s="1"/>
    </row>
    <row r="239" ht="15.75" customHeight="1">
      <c r="E239" s="1"/>
    </row>
    <row r="240" ht="15.75" customHeight="1">
      <c r="E240" s="1"/>
    </row>
    <row r="241" ht="15.75" customHeight="1">
      <c r="E241" s="1"/>
    </row>
    <row r="242" ht="15.75" customHeight="1">
      <c r="E242" s="1"/>
    </row>
    <row r="243" ht="15.75" customHeight="1">
      <c r="E243" s="1"/>
    </row>
    <row r="244" ht="15.75" customHeight="1">
      <c r="E244" s="1"/>
    </row>
    <row r="245" ht="15.75" customHeight="1">
      <c r="E245" s="1"/>
    </row>
    <row r="246" ht="15.75" customHeight="1">
      <c r="E246" s="1"/>
    </row>
    <row r="247" ht="15.75" customHeight="1">
      <c r="E247" s="1"/>
    </row>
    <row r="248" ht="15.75" customHeight="1">
      <c r="E248" s="1"/>
    </row>
    <row r="249" ht="15.75" customHeight="1">
      <c r="E249" s="1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printOptions/>
  <pageMargins bottom="0.75" footer="0.0" header="0.0" left="0.7" right="0.7" top="0.75"/>
  <pageSetup orientation="landscape"/>
  <drawing r:id="rId1"/>
</worksheet>
</file>